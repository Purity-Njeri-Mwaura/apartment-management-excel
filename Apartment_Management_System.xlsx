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FDFAFA-8CAC-4092-BAE8-42ED3EA53DC8}" xr6:coauthVersionLast="47" xr6:coauthVersionMax="47" xr10:uidLastSave="{00000000-0000-0000-0000-000000000000}"/>
  <bookViews>
    <workbookView xWindow="-108" yWindow="-108" windowWidth="23256" windowHeight="12456" tabRatio="585" activeTab="1" xr2:uid="{00000000-000D-0000-FFFF-FFFF00000000}"/>
  </bookViews>
  <sheets>
    <sheet name="Dashboard" sheetId="1" r:id="rId1"/>
    <sheet name="Rent Tracker" sheetId="2" r:id="rId2"/>
    <sheet name="Arrears" sheetId="3" r:id="rId3"/>
    <sheet name="Deposits" sheetId="4" r:id="rId4"/>
    <sheet name="Maintenance" sheetId="5" r:id="rId5"/>
    <sheet name="Expenses" sheetId="6" r:id="rId6"/>
    <sheet name="P&amp;L 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2" l="1"/>
  <c r="AI3" i="2"/>
  <c r="G3" i="3" s="1"/>
  <c r="O14" i="7"/>
  <c r="O13" i="7"/>
  <c r="N12" i="7"/>
  <c r="M12" i="7"/>
  <c r="K12" i="7"/>
  <c r="J12" i="7"/>
  <c r="I12" i="7"/>
  <c r="F12" i="7"/>
  <c r="E12" i="7"/>
  <c r="C12" i="7"/>
  <c r="N10" i="7"/>
  <c r="M10" i="7"/>
  <c r="L10" i="7"/>
  <c r="L12" i="7" s="1"/>
  <c r="K10" i="7"/>
  <c r="J10" i="7"/>
  <c r="I10" i="7"/>
  <c r="H10" i="7"/>
  <c r="H12" i="7" s="1"/>
  <c r="G10" i="7"/>
  <c r="G12" i="7" s="1"/>
  <c r="F10" i="7"/>
  <c r="E10" i="7"/>
  <c r="D10" i="7"/>
  <c r="D12" i="7" s="1"/>
  <c r="C10" i="7"/>
  <c r="N9" i="7"/>
  <c r="L9" i="7"/>
  <c r="K9" i="7"/>
  <c r="I9" i="7"/>
  <c r="F9" i="7"/>
  <c r="D9" i="7"/>
  <c r="O6" i="7"/>
  <c r="O23" i="6"/>
  <c r="N23" i="6"/>
  <c r="M9" i="7" s="1"/>
  <c r="M23" i="6"/>
  <c r="L23" i="6"/>
  <c r="K23" i="6"/>
  <c r="J9" i="7" s="1"/>
  <c r="J23" i="6"/>
  <c r="I23" i="6"/>
  <c r="H9" i="7" s="1"/>
  <c r="H23" i="6"/>
  <c r="G23" i="6"/>
  <c r="F23" i="6"/>
  <c r="E9" i="7" s="1"/>
  <c r="E23" i="6"/>
  <c r="D23" i="6"/>
  <c r="C9" i="7" s="1"/>
  <c r="C23" i="6"/>
  <c r="R22" i="6"/>
  <c r="Q22" i="6"/>
  <c r="P22" i="6"/>
  <c r="R21" i="6"/>
  <c r="Q21" i="6"/>
  <c r="P21" i="6"/>
  <c r="R20" i="6"/>
  <c r="Q20" i="6"/>
  <c r="P20" i="6"/>
  <c r="R19" i="6"/>
  <c r="Q19" i="6"/>
  <c r="P19" i="6"/>
  <c r="R18" i="6"/>
  <c r="Q18" i="6"/>
  <c r="P18" i="6"/>
  <c r="R17" i="6"/>
  <c r="Q17" i="6"/>
  <c r="P17" i="6"/>
  <c r="R16" i="6"/>
  <c r="Q16" i="6"/>
  <c r="P16" i="6"/>
  <c r="R15" i="6"/>
  <c r="Q15" i="6"/>
  <c r="P15" i="6"/>
  <c r="R14" i="6"/>
  <c r="Q14" i="6"/>
  <c r="P14" i="6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Q23" i="6" s="1"/>
  <c r="P3" i="6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I16" i="4"/>
  <c r="J16" i="4" s="1"/>
  <c r="J15" i="4"/>
  <c r="I15" i="4"/>
  <c r="J14" i="4"/>
  <c r="I14" i="4"/>
  <c r="I13" i="4"/>
  <c r="J13" i="4" s="1"/>
  <c r="I12" i="4"/>
  <c r="J12" i="4" s="1"/>
  <c r="J11" i="4"/>
  <c r="I11" i="4"/>
  <c r="J10" i="4"/>
  <c r="I10" i="4"/>
  <c r="I9" i="4"/>
  <c r="J9" i="4" s="1"/>
  <c r="I8" i="4"/>
  <c r="J8" i="4" s="1"/>
  <c r="J7" i="4"/>
  <c r="I7" i="4"/>
  <c r="J6" i="4"/>
  <c r="I6" i="4"/>
  <c r="I5" i="4"/>
  <c r="J5" i="4" s="1"/>
  <c r="I4" i="4"/>
  <c r="J4" i="4" s="1"/>
  <c r="I3" i="4"/>
  <c r="J3" i="4" s="1"/>
  <c r="I32" i="3"/>
  <c r="H32" i="3"/>
  <c r="G32" i="3"/>
  <c r="F32" i="3"/>
  <c r="E32" i="3"/>
  <c r="D32" i="3"/>
  <c r="C32" i="3"/>
  <c r="B32" i="3"/>
  <c r="A32" i="3"/>
  <c r="I31" i="3"/>
  <c r="H31" i="3"/>
  <c r="G31" i="3"/>
  <c r="F31" i="3"/>
  <c r="E31" i="3"/>
  <c r="D31" i="3"/>
  <c r="C31" i="3"/>
  <c r="B31" i="3"/>
  <c r="A31" i="3"/>
  <c r="I30" i="3"/>
  <c r="H30" i="3"/>
  <c r="G30" i="3"/>
  <c r="F30" i="3"/>
  <c r="E30" i="3"/>
  <c r="D30" i="3"/>
  <c r="C30" i="3"/>
  <c r="B30" i="3"/>
  <c r="A30" i="3"/>
  <c r="I29" i="3"/>
  <c r="H29" i="3"/>
  <c r="G29" i="3"/>
  <c r="F29" i="3"/>
  <c r="E29" i="3"/>
  <c r="D29" i="3"/>
  <c r="C29" i="3"/>
  <c r="B29" i="3"/>
  <c r="A29" i="3"/>
  <c r="I28" i="3"/>
  <c r="H28" i="3"/>
  <c r="G28" i="3"/>
  <c r="F28" i="3"/>
  <c r="E28" i="3"/>
  <c r="D28" i="3"/>
  <c r="C28" i="3"/>
  <c r="B28" i="3"/>
  <c r="A28" i="3"/>
  <c r="I27" i="3"/>
  <c r="H27" i="3"/>
  <c r="G27" i="3"/>
  <c r="F27" i="3"/>
  <c r="E27" i="3"/>
  <c r="D27" i="3"/>
  <c r="C27" i="3"/>
  <c r="B27" i="3"/>
  <c r="A27" i="3"/>
  <c r="I26" i="3"/>
  <c r="H26" i="3"/>
  <c r="G26" i="3"/>
  <c r="F26" i="3"/>
  <c r="E26" i="3"/>
  <c r="D26" i="3"/>
  <c r="C26" i="3"/>
  <c r="B26" i="3"/>
  <c r="A26" i="3"/>
  <c r="I25" i="3"/>
  <c r="H25" i="3"/>
  <c r="G25" i="3"/>
  <c r="F25" i="3"/>
  <c r="E25" i="3"/>
  <c r="D25" i="3"/>
  <c r="C25" i="3"/>
  <c r="B25" i="3"/>
  <c r="A25" i="3"/>
  <c r="I24" i="3"/>
  <c r="H24" i="3"/>
  <c r="G24" i="3"/>
  <c r="F24" i="3"/>
  <c r="E24" i="3"/>
  <c r="D24" i="3"/>
  <c r="C24" i="3"/>
  <c r="B24" i="3"/>
  <c r="A24" i="3"/>
  <c r="I23" i="3"/>
  <c r="H23" i="3"/>
  <c r="G23" i="3"/>
  <c r="F23" i="3"/>
  <c r="E23" i="3"/>
  <c r="D23" i="3"/>
  <c r="C23" i="3"/>
  <c r="B23" i="3"/>
  <c r="A23" i="3"/>
  <c r="I22" i="3"/>
  <c r="H22" i="3"/>
  <c r="G22" i="3"/>
  <c r="F22" i="3"/>
  <c r="E22" i="3"/>
  <c r="D22" i="3"/>
  <c r="C22" i="3"/>
  <c r="B22" i="3"/>
  <c r="A22" i="3"/>
  <c r="I21" i="3"/>
  <c r="H21" i="3"/>
  <c r="G21" i="3"/>
  <c r="F21" i="3"/>
  <c r="E21" i="3"/>
  <c r="D21" i="3"/>
  <c r="C21" i="3"/>
  <c r="B21" i="3"/>
  <c r="A21" i="3"/>
  <c r="I20" i="3"/>
  <c r="H20" i="3"/>
  <c r="G20" i="3"/>
  <c r="F20" i="3"/>
  <c r="E20" i="3"/>
  <c r="D20" i="3"/>
  <c r="C20" i="3"/>
  <c r="B20" i="3"/>
  <c r="A20" i="3"/>
  <c r="I19" i="3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C16" i="3"/>
  <c r="B16" i="3"/>
  <c r="A16" i="3"/>
  <c r="I15" i="3"/>
  <c r="H15" i="3"/>
  <c r="G15" i="3"/>
  <c r="F15" i="3"/>
  <c r="E15" i="3"/>
  <c r="D15" i="3"/>
  <c r="C15" i="3"/>
  <c r="B15" i="3"/>
  <c r="A15" i="3"/>
  <c r="I14" i="3"/>
  <c r="H14" i="3"/>
  <c r="G14" i="3"/>
  <c r="F14" i="3"/>
  <c r="E14" i="3"/>
  <c r="D14" i="3"/>
  <c r="C14" i="3"/>
  <c r="B14" i="3"/>
  <c r="A14" i="3"/>
  <c r="C13" i="3"/>
  <c r="B13" i="3"/>
  <c r="A13" i="3"/>
  <c r="C12" i="3"/>
  <c r="D25" i="1" s="1"/>
  <c r="B12" i="3"/>
  <c r="C25" i="1" s="1"/>
  <c r="A12" i="3"/>
  <c r="B25" i="1" s="1"/>
  <c r="I11" i="3"/>
  <c r="H11" i="3"/>
  <c r="G11" i="3"/>
  <c r="F11" i="3"/>
  <c r="E11" i="3"/>
  <c r="D11" i="3"/>
  <c r="C11" i="3"/>
  <c r="D24" i="1" s="1"/>
  <c r="B11" i="3"/>
  <c r="C24" i="1" s="1"/>
  <c r="A11" i="3"/>
  <c r="C10" i="3"/>
  <c r="D23" i="1" s="1"/>
  <c r="B10" i="3"/>
  <c r="C23" i="1" s="1"/>
  <c r="A10" i="3"/>
  <c r="B23" i="1" s="1"/>
  <c r="C9" i="3"/>
  <c r="B9" i="3"/>
  <c r="C22" i="1" s="1"/>
  <c r="A9" i="3"/>
  <c r="C8" i="3"/>
  <c r="B8" i="3"/>
  <c r="A8" i="3"/>
  <c r="B21" i="1" s="1"/>
  <c r="C7" i="3"/>
  <c r="B7" i="3"/>
  <c r="C20" i="1" s="1"/>
  <c r="A7" i="3"/>
  <c r="B20" i="1" s="1"/>
  <c r="C6" i="3"/>
  <c r="D19" i="1" s="1"/>
  <c r="B6" i="3"/>
  <c r="C19" i="1" s="1"/>
  <c r="A6" i="3"/>
  <c r="C5" i="3"/>
  <c r="D18" i="1" s="1"/>
  <c r="B5" i="3"/>
  <c r="A5" i="3"/>
  <c r="C4" i="3"/>
  <c r="B4" i="3"/>
  <c r="C17" i="1" s="1"/>
  <c r="A4" i="3"/>
  <c r="B17" i="1" s="1"/>
  <c r="C3" i="3"/>
  <c r="D16" i="1" s="1"/>
  <c r="B3" i="3"/>
  <c r="C16" i="1" s="1"/>
  <c r="A3" i="3"/>
  <c r="AF34" i="2"/>
  <c r="N4" i="7" s="1"/>
  <c r="AD34" i="2"/>
  <c r="M4" i="7" s="1"/>
  <c r="AB34" i="2"/>
  <c r="L4" i="7" s="1"/>
  <c r="Z34" i="2"/>
  <c r="K4" i="7" s="1"/>
  <c r="X34" i="2"/>
  <c r="V34" i="2"/>
  <c r="I4" i="7" s="1"/>
  <c r="T34" i="2"/>
  <c r="C38" i="1" s="1"/>
  <c r="F38" i="1" s="1"/>
  <c r="R34" i="2"/>
  <c r="G4" i="7" s="1"/>
  <c r="P34" i="2"/>
  <c r="F4" i="7" s="1"/>
  <c r="N34" i="2"/>
  <c r="E4" i="7" s="1"/>
  <c r="L34" i="2"/>
  <c r="D4" i="7" s="1"/>
  <c r="J34" i="2"/>
  <c r="C4" i="7" s="1"/>
  <c r="F34" i="2"/>
  <c r="AJ16" i="2"/>
  <c r="AI16" i="2"/>
  <c r="G16" i="3" s="1"/>
  <c r="K16" i="2"/>
  <c r="AJ13" i="2"/>
  <c r="AI13" i="2"/>
  <c r="G13" i="3" s="1"/>
  <c r="K13" i="2"/>
  <c r="AJ12" i="2"/>
  <c r="AI12" i="2"/>
  <c r="G12" i="3" s="1"/>
  <c r="H25" i="1" s="1"/>
  <c r="K12" i="2"/>
  <c r="M12" i="2" s="1"/>
  <c r="AJ10" i="2"/>
  <c r="AI10" i="2"/>
  <c r="G10" i="3" s="1"/>
  <c r="H23" i="1" s="1"/>
  <c r="K10" i="2"/>
  <c r="AJ9" i="2"/>
  <c r="AI9" i="2"/>
  <c r="G9" i="3" s="1"/>
  <c r="H22" i="1" s="1"/>
  <c r="K9" i="2"/>
  <c r="M9" i="2" s="1"/>
  <c r="AJ8" i="2"/>
  <c r="AI8" i="2"/>
  <c r="G8" i="3" s="1"/>
  <c r="H21" i="1" s="1"/>
  <c r="K8" i="2"/>
  <c r="AJ7" i="2"/>
  <c r="AI7" i="2"/>
  <c r="G7" i="3" s="1"/>
  <c r="H20" i="1" s="1"/>
  <c r="K7" i="2"/>
  <c r="AJ6" i="2"/>
  <c r="AI6" i="2"/>
  <c r="G6" i="3" s="1"/>
  <c r="H19" i="1" s="1"/>
  <c r="K6" i="2"/>
  <c r="AJ5" i="2"/>
  <c r="AI5" i="2"/>
  <c r="G5" i="3" s="1"/>
  <c r="H18" i="1" s="1"/>
  <c r="K5" i="2"/>
  <c r="AJ4" i="2"/>
  <c r="AI4" i="2"/>
  <c r="G4" i="3" s="1"/>
  <c r="H17" i="1" s="1"/>
  <c r="K4" i="2"/>
  <c r="M4" i="2" s="1"/>
  <c r="AJ3" i="2"/>
  <c r="K3" i="2"/>
  <c r="E44" i="1"/>
  <c r="D44" i="1"/>
  <c r="E43" i="1"/>
  <c r="D43" i="1"/>
  <c r="E42" i="1"/>
  <c r="D42" i="1"/>
  <c r="E41" i="1"/>
  <c r="D41" i="1"/>
  <c r="D40" i="1"/>
  <c r="E39" i="1"/>
  <c r="D39" i="1"/>
  <c r="E38" i="1"/>
  <c r="D38" i="1"/>
  <c r="D37" i="1"/>
  <c r="E36" i="1"/>
  <c r="D36" i="1"/>
  <c r="E35" i="1"/>
  <c r="D35" i="1"/>
  <c r="E34" i="1"/>
  <c r="D34" i="1"/>
  <c r="E33" i="1"/>
  <c r="D33" i="1"/>
  <c r="K25" i="1"/>
  <c r="K24" i="1"/>
  <c r="J24" i="1"/>
  <c r="I24" i="1"/>
  <c r="H24" i="1"/>
  <c r="G24" i="1"/>
  <c r="F24" i="1"/>
  <c r="E24" i="1"/>
  <c r="B24" i="1"/>
  <c r="K23" i="1"/>
  <c r="K22" i="1"/>
  <c r="D22" i="1"/>
  <c r="B22" i="1"/>
  <c r="K21" i="1"/>
  <c r="D21" i="1"/>
  <c r="C21" i="1"/>
  <c r="K20" i="1"/>
  <c r="D20" i="1"/>
  <c r="K19" i="1"/>
  <c r="B19" i="1"/>
  <c r="K18" i="1"/>
  <c r="C18" i="1"/>
  <c r="B18" i="1"/>
  <c r="K17" i="1"/>
  <c r="D17" i="1"/>
  <c r="K16" i="1"/>
  <c r="B16" i="1"/>
  <c r="N6" i="1"/>
  <c r="J6" i="1"/>
  <c r="F6" i="1"/>
  <c r="B6" i="1"/>
  <c r="P23" i="6" l="1"/>
  <c r="J11" i="1" s="1"/>
  <c r="C44" i="1"/>
  <c r="F44" i="1" s="1"/>
  <c r="C42" i="1"/>
  <c r="F42" i="1" s="1"/>
  <c r="C39" i="1"/>
  <c r="F39" i="1" s="1"/>
  <c r="C36" i="1"/>
  <c r="F36" i="1" s="1"/>
  <c r="B11" i="1"/>
  <c r="C35" i="1"/>
  <c r="F35" i="1" s="1"/>
  <c r="C33" i="1"/>
  <c r="F33" i="1" s="1"/>
  <c r="C34" i="1"/>
  <c r="F34" i="1" s="1"/>
  <c r="C43" i="1"/>
  <c r="F43" i="1" s="1"/>
  <c r="C37" i="1"/>
  <c r="C41" i="1"/>
  <c r="F41" i="1" s="1"/>
  <c r="H4" i="7"/>
  <c r="C40" i="1"/>
  <c r="J4" i="7"/>
  <c r="G34" i="3"/>
  <c r="H16" i="1"/>
  <c r="D5" i="3"/>
  <c r="E18" i="1" s="1"/>
  <c r="M5" i="2"/>
  <c r="O9" i="2"/>
  <c r="E9" i="3"/>
  <c r="F22" i="1" s="1"/>
  <c r="D16" i="3"/>
  <c r="M16" i="2"/>
  <c r="D6" i="3"/>
  <c r="E19" i="1" s="1"/>
  <c r="O12" i="7"/>
  <c r="D10" i="3"/>
  <c r="E23" i="1" s="1"/>
  <c r="M10" i="2"/>
  <c r="E4" i="3"/>
  <c r="F17" i="1" s="1"/>
  <c r="O4" i="2"/>
  <c r="D8" i="3"/>
  <c r="E21" i="1" s="1"/>
  <c r="M8" i="2"/>
  <c r="D13" i="3"/>
  <c r="M13" i="2"/>
  <c r="D4" i="3"/>
  <c r="E17" i="1" s="1"/>
  <c r="D9" i="3"/>
  <c r="E22" i="1" s="1"/>
  <c r="O10" i="7"/>
  <c r="G9" i="7"/>
  <c r="E37" i="1"/>
  <c r="D3" i="3"/>
  <c r="E16" i="1" s="1"/>
  <c r="M3" i="2"/>
  <c r="D7" i="3"/>
  <c r="E20" i="1" s="1"/>
  <c r="M7" i="2"/>
  <c r="E12" i="3"/>
  <c r="F25" i="1" s="1"/>
  <c r="O12" i="2"/>
  <c r="D12" i="3"/>
  <c r="E25" i="1" s="1"/>
  <c r="R23" i="6"/>
  <c r="AI34" i="2"/>
  <c r="E40" i="1"/>
  <c r="N11" i="1" l="1"/>
  <c r="F37" i="1"/>
  <c r="E6" i="3"/>
  <c r="F19" i="1" s="1"/>
  <c r="O6" i="2"/>
  <c r="E10" i="3"/>
  <c r="F23" i="1" s="1"/>
  <c r="O10" i="2"/>
  <c r="E5" i="3"/>
  <c r="F18" i="1" s="1"/>
  <c r="O5" i="2"/>
  <c r="E13" i="3"/>
  <c r="O13" i="2"/>
  <c r="O3" i="2"/>
  <c r="E3" i="3"/>
  <c r="F16" i="1" s="1"/>
  <c r="E7" i="3"/>
  <c r="F20" i="1" s="1"/>
  <c r="O7" i="2"/>
  <c r="O16" i="2"/>
  <c r="E16" i="3"/>
  <c r="F9" i="3"/>
  <c r="G22" i="1" s="1"/>
  <c r="Q9" i="2"/>
  <c r="S9" i="2" s="1"/>
  <c r="U9" i="2" s="1"/>
  <c r="W9" i="2" s="1"/>
  <c r="Y9" i="2" s="1"/>
  <c r="AA9" i="2" s="1"/>
  <c r="AC9" i="2" s="1"/>
  <c r="AE9" i="2" s="1"/>
  <c r="AG9" i="2" s="1"/>
  <c r="AK9" i="2" s="1"/>
  <c r="O8" i="2"/>
  <c r="E8" i="3"/>
  <c r="F21" i="1" s="1"/>
  <c r="F4" i="3"/>
  <c r="G17" i="1" s="1"/>
  <c r="Q4" i="2"/>
  <c r="S4" i="2" s="1"/>
  <c r="U4" i="2" s="1"/>
  <c r="W4" i="2" s="1"/>
  <c r="Y4" i="2" s="1"/>
  <c r="AA4" i="2" s="1"/>
  <c r="AC4" i="2" s="1"/>
  <c r="AE4" i="2" s="1"/>
  <c r="AG4" i="2" s="1"/>
  <c r="AK4" i="2" s="1"/>
  <c r="F40" i="1"/>
  <c r="F12" i="3"/>
  <c r="G25" i="1" s="1"/>
  <c r="Q12" i="2"/>
  <c r="S12" i="2" s="1"/>
  <c r="U12" i="2" s="1"/>
  <c r="W12" i="2" s="1"/>
  <c r="Y12" i="2" s="1"/>
  <c r="AA12" i="2" s="1"/>
  <c r="AC12" i="2" s="1"/>
  <c r="AE12" i="2" s="1"/>
  <c r="AG12" i="2" s="1"/>
  <c r="AK12" i="2" s="1"/>
  <c r="F3" i="3" l="1"/>
  <c r="G16" i="1" s="1"/>
  <c r="Q3" i="2"/>
  <c r="S3" i="2" s="1"/>
  <c r="U3" i="2" s="1"/>
  <c r="W3" i="2" s="1"/>
  <c r="Y3" i="2" s="1"/>
  <c r="AA3" i="2" s="1"/>
  <c r="AC3" i="2" s="1"/>
  <c r="AE3" i="2" s="1"/>
  <c r="AG3" i="2" s="1"/>
  <c r="AK3" i="2" s="1"/>
  <c r="F13" i="3"/>
  <c r="Q13" i="2"/>
  <c r="S13" i="2" s="1"/>
  <c r="U13" i="2" s="1"/>
  <c r="W13" i="2" s="1"/>
  <c r="Y13" i="2" s="1"/>
  <c r="AA13" i="2" s="1"/>
  <c r="AC13" i="2" s="1"/>
  <c r="AE13" i="2" s="1"/>
  <c r="AG13" i="2" s="1"/>
  <c r="AK13" i="2" s="1"/>
  <c r="F5" i="3"/>
  <c r="G18" i="1" s="1"/>
  <c r="Q5" i="2"/>
  <c r="S5" i="2" s="1"/>
  <c r="U5" i="2" s="1"/>
  <c r="W5" i="2" s="1"/>
  <c r="Y5" i="2" s="1"/>
  <c r="AA5" i="2" s="1"/>
  <c r="AC5" i="2" s="1"/>
  <c r="AE5" i="2" s="1"/>
  <c r="AG5" i="2" s="1"/>
  <c r="AK5" i="2" s="1"/>
  <c r="AL9" i="2"/>
  <c r="I9" i="3"/>
  <c r="J22" i="1" s="1"/>
  <c r="H9" i="3"/>
  <c r="I22" i="1" s="1"/>
  <c r="F8" i="3"/>
  <c r="G21" i="1" s="1"/>
  <c r="Q8" i="2"/>
  <c r="S8" i="2" s="1"/>
  <c r="U8" i="2" s="1"/>
  <c r="W8" i="2" s="1"/>
  <c r="Y8" i="2" s="1"/>
  <c r="AA8" i="2" s="1"/>
  <c r="AC8" i="2" s="1"/>
  <c r="AE8" i="2" s="1"/>
  <c r="AG8" i="2" s="1"/>
  <c r="AK8" i="2" s="1"/>
  <c r="H4" i="3"/>
  <c r="I17" i="1" s="1"/>
  <c r="AL4" i="2"/>
  <c r="I4" i="3"/>
  <c r="J17" i="1" s="1"/>
  <c r="H12" i="3"/>
  <c r="I25" i="1" s="1"/>
  <c r="AL12" i="2"/>
  <c r="I12" i="3"/>
  <c r="J25" i="1" s="1"/>
  <c r="F16" i="3"/>
  <c r="Q16" i="2"/>
  <c r="S16" i="2" s="1"/>
  <c r="U16" i="2" s="1"/>
  <c r="W16" i="2" s="1"/>
  <c r="Y16" i="2" s="1"/>
  <c r="AA16" i="2" s="1"/>
  <c r="AC16" i="2" s="1"/>
  <c r="AE16" i="2" s="1"/>
  <c r="AG16" i="2" s="1"/>
  <c r="AK16" i="2" s="1"/>
  <c r="F7" i="3"/>
  <c r="G20" i="1" s="1"/>
  <c r="Q7" i="2"/>
  <c r="S7" i="2" s="1"/>
  <c r="U7" i="2" s="1"/>
  <c r="W7" i="2" s="1"/>
  <c r="Y7" i="2" s="1"/>
  <c r="AA7" i="2" s="1"/>
  <c r="AC7" i="2" s="1"/>
  <c r="AE7" i="2" s="1"/>
  <c r="AG7" i="2" s="1"/>
  <c r="AK7" i="2" s="1"/>
  <c r="Q10" i="2"/>
  <c r="S10" i="2" s="1"/>
  <c r="U10" i="2" s="1"/>
  <c r="W10" i="2" s="1"/>
  <c r="Y10" i="2" s="1"/>
  <c r="AA10" i="2" s="1"/>
  <c r="AC10" i="2" s="1"/>
  <c r="AE10" i="2" s="1"/>
  <c r="AG10" i="2" s="1"/>
  <c r="AK10" i="2" s="1"/>
  <c r="F10" i="3"/>
  <c r="G23" i="1" s="1"/>
  <c r="F6" i="3"/>
  <c r="G19" i="1" s="1"/>
  <c r="Q6" i="2"/>
  <c r="S6" i="2" s="1"/>
  <c r="U6" i="2" s="1"/>
  <c r="W6" i="2" s="1"/>
  <c r="Y6" i="2" s="1"/>
  <c r="AA6" i="2" s="1"/>
  <c r="AC6" i="2" s="1"/>
  <c r="AE6" i="2" s="1"/>
  <c r="AG6" i="2" s="1"/>
  <c r="AK6" i="2" s="1"/>
  <c r="AL5" i="2" l="1"/>
  <c r="I5" i="3"/>
  <c r="J18" i="1" s="1"/>
  <c r="H5" i="3"/>
  <c r="I18" i="1" s="1"/>
  <c r="AL7" i="2"/>
  <c r="H7" i="3"/>
  <c r="I20" i="1" s="1"/>
  <c r="I7" i="3"/>
  <c r="J20" i="1" s="1"/>
  <c r="AL6" i="2"/>
  <c r="I6" i="3"/>
  <c r="J19" i="1" s="1"/>
  <c r="H6" i="3"/>
  <c r="I19" i="1" s="1"/>
  <c r="AL10" i="2"/>
  <c r="I10" i="3"/>
  <c r="J23" i="1" s="1"/>
  <c r="H10" i="3"/>
  <c r="I23" i="1" s="1"/>
  <c r="AL13" i="2"/>
  <c r="I13" i="3"/>
  <c r="H13" i="3"/>
  <c r="AL8" i="2"/>
  <c r="I8" i="3"/>
  <c r="J21" i="1" s="1"/>
  <c r="H8" i="3"/>
  <c r="I21" i="1" s="1"/>
  <c r="AL16" i="2"/>
  <c r="I16" i="3"/>
  <c r="H16" i="3"/>
  <c r="I3" i="3"/>
  <c r="J16" i="1" s="1"/>
  <c r="AL3" i="2"/>
  <c r="H3" i="3"/>
  <c r="AK34" i="2"/>
  <c r="H34" i="3" l="1"/>
  <c r="F11" i="1"/>
  <c r="I16" i="1"/>
</calcChain>
</file>

<file path=xl/sharedStrings.xml><?xml version="1.0" encoding="utf-8"?>
<sst xmlns="http://schemas.openxmlformats.org/spreadsheetml/2006/main" count="326" uniqueCount="192">
  <si>
    <t>🏢  ELITE APARTMENT MANAGEMENT  —  DASHBOARD 2026</t>
  </si>
  <si>
    <t>UNITS OCCUPIED</t>
  </si>
  <si>
    <t>UNITS VACANT</t>
  </si>
  <si>
    <t>OCCUPANCY RATE</t>
  </si>
  <si>
    <t>TOTAL RENT/MONTH</t>
  </si>
  <si>
    <t>COLLECTED (MAR)</t>
  </si>
  <si>
    <t>TOTAL ARREARS</t>
  </si>
  <si>
    <t>EXPENSES YTD</t>
  </si>
  <si>
    <t>NET INCOME YTD</t>
  </si>
  <si>
    <t>TOP DEBTORS — Who Owes Most</t>
  </si>
  <si>
    <t>House</t>
  </si>
  <si>
    <t>Tenant</t>
  </si>
  <si>
    <t>Rent/Mo</t>
  </si>
  <si>
    <t>Jan Bal</t>
  </si>
  <si>
    <t>Feb Bal</t>
  </si>
  <si>
    <t>Mar Bal</t>
  </si>
  <si>
    <t>Paid YTD</t>
  </si>
  <si>
    <t>Still Owes</t>
  </si>
  <si>
    <t>Months Behind</t>
  </si>
  <si>
    <t>Status</t>
  </si>
  <si>
    <t>HOW TO USE: Go to 'Rent Tracker' → type amount paid in BLUE columns each month. Arrears, P&amp;L and Dashboard update automatically. Blue = type here. Everything else = auto.</t>
  </si>
  <si>
    <t>Month</t>
  </si>
  <si>
    <t>Collected</t>
  </si>
  <si>
    <t>Expected</t>
  </si>
  <si>
    <t>Expenses</t>
  </si>
  <si>
    <t>Net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</si>
  <si>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</si>
  <si>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</si>
  <si>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</si>
  <si>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</si>
  <si>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</si>
  <si>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</si>
  <si>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</si>
  <si>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</si>
  <si>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</si>
  <si>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</si>
  <si>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</si>
  <si>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</si>
  <si>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🏢  RENT TRACKER 2026  —  Type ONLY the amount paid in the BLUE columns. Everything else auto-calculates.</t>
  </si>
  <si>
    <t>House No.</t>
  </si>
  <si>
    <t>Tenant Name</t>
  </si>
  <si>
    <t>Phone</t>
  </si>
  <si>
    <t>National ID</t>
  </si>
  <si>
    <t>Type</t>
  </si>
  <si>
    <t>Rent/Mo (KSh)</t>
  </si>
  <si>
    <t>Deposit (KSh)</t>
  </si>
  <si>
    <t>Move-In Date</t>
  </si>
  <si>
    <t>Lease End</t>
  </si>
  <si>
    <t>Jan Paid</t>
  </si>
  <si>
    <t>Feb Paid</t>
  </si>
  <si>
    <t>Mar Paid</t>
  </si>
  <si>
    <t>Apr Paid</t>
  </si>
  <si>
    <t>Apr Bal</t>
  </si>
  <si>
    <t>May Paid</t>
  </si>
  <si>
    <t>May Bal</t>
  </si>
  <si>
    <t>Jun Paid</t>
  </si>
  <si>
    <t>Jun Bal</t>
  </si>
  <si>
    <t>Jul Paid</t>
  </si>
  <si>
    <t>Jul Bal</t>
  </si>
  <si>
    <t>Aug Paid</t>
  </si>
  <si>
    <t>Aug Bal</t>
  </si>
  <si>
    <t>Sep Paid</t>
  </si>
  <si>
    <t>Sep Bal</t>
  </si>
  <si>
    <t>Oct Paid</t>
  </si>
  <si>
    <t>Oct Bal</t>
  </si>
  <si>
    <t>Nov Paid</t>
  </si>
  <si>
    <t>Nov Bal</t>
  </si>
  <si>
    <t>Dec Paid</t>
  </si>
  <si>
    <t>Dec Bal</t>
  </si>
  <si>
    <t>Total Paid YTD</t>
  </si>
  <si>
    <t>Total Due YTD</t>
  </si>
  <si>
    <t>Notes</t>
  </si>
  <si>
    <t>House 1</t>
  </si>
  <si>
    <t>James Nderitu</t>
  </si>
  <si>
    <t>1 Bedroom</t>
  </si>
  <si>
    <t>House 2</t>
  </si>
  <si>
    <t>Ian Gichuru</t>
  </si>
  <si>
    <t>House 3</t>
  </si>
  <si>
    <t>Joshua</t>
  </si>
  <si>
    <t>House 4</t>
  </si>
  <si>
    <t>Kelvin</t>
  </si>
  <si>
    <t>House 5</t>
  </si>
  <si>
    <t>Joan</t>
  </si>
  <si>
    <t>House 6</t>
  </si>
  <si>
    <t>Brian</t>
  </si>
  <si>
    <t>House 7</t>
  </si>
  <si>
    <t>Kare</t>
  </si>
  <si>
    <t>Bedsitter</t>
  </si>
  <si>
    <t>House 8</t>
  </si>
  <si>
    <t>John</t>
  </si>
  <si>
    <t>House 9</t>
  </si>
  <si>
    <t>VACANT</t>
  </si>
  <si>
    <t>House 10</t>
  </si>
  <si>
    <t>Korir</t>
  </si>
  <si>
    <t>House 11</t>
  </si>
  <si>
    <t>Cheptegei</t>
  </si>
  <si>
    <t>House 12</t>
  </si>
  <si>
    <t>House 13</t>
  </si>
  <si>
    <t>House 14</t>
  </si>
  <si>
    <t>Burudi</t>
  </si>
  <si>
    <t>TOTALS</t>
  </si>
  <si>
    <t>COLOUR KEY:</t>
  </si>
  <si>
    <t>BLUE = type paid amount here</t>
  </si>
  <si>
    <t>GREEN balance = paid / credit</t>
  </si>
  <si>
    <t>RED balance = still owes</t>
  </si>
  <si>
    <t>BLUE balance = advance/credit</t>
  </si>
  <si>
    <t>🚨  ARREARS SUMMARY — Pulls automatically from Rent Tracker. Fill Action &amp; Last Contact only.</t>
  </si>
  <si>
    <t>Last Payment</t>
  </si>
  <si>
    <t>Last Contact</t>
  </si>
  <si>
    <t>Action</t>
  </si>
  <si>
    <t>💎  DEPOSITS REGISTER — Security deposits held, deductions on move-out, net refundable.</t>
  </si>
  <si>
    <t>Deposit Held (KSh)</t>
  </si>
  <si>
    <t>Date Received</t>
  </si>
  <si>
    <t>Deduction 1 Reason</t>
  </si>
  <si>
    <t>Deduction 1 (KSh)</t>
  </si>
  <si>
    <t>Deduction 2 Reason</t>
  </si>
  <si>
    <t>Deduction 2 (KSh)</t>
  </si>
  <si>
    <t>Total Deductions</t>
  </si>
  <si>
    <t>Net Refundable</t>
  </si>
  <si>
    <t>Date Refunded</t>
  </si>
  <si>
    <t>Held</t>
  </si>
  <si>
    <t>🔧  MAINTENANCE LOG — Every repair, cost and contractor tracked here.</t>
  </si>
  <si>
    <t>#</t>
  </si>
  <si>
    <t>Date</t>
  </si>
  <si>
    <t>Issue Description</t>
  </si>
  <si>
    <t>Category</t>
  </si>
  <si>
    <t>Priority</t>
  </si>
  <si>
    <t>Contractor</t>
  </si>
  <si>
    <t>Date Done</t>
  </si>
  <si>
    <t>Cost (KSh)</t>
  </si>
  <si>
    <t>Paid?</t>
  </si>
  <si>
    <t>Charged to Tenant?</t>
  </si>
  <si>
    <t>💸  EXPENSES 2026 — Type actual spend in each month. Blue = input. Totals auto-calculate.</t>
  </si>
  <si>
    <t>Expense Category</t>
  </si>
  <si>
    <t>Annual Budget (KSh)</t>
  </si>
  <si>
    <t>Total Spent</t>
  </si>
  <si>
    <t>Annual Budget</t>
  </si>
  <si>
    <t>vs Budget</t>
  </si>
  <si>
    <t>Mortgage / Loan Repayment</t>
  </si>
  <si>
    <t>Fixed</t>
  </si>
  <si>
    <t>Property Rates &amp; Levies</t>
  </si>
  <si>
    <t>Insurance</t>
  </si>
  <si>
    <t>Caretaker / Manager Salary</t>
  </si>
  <si>
    <t>Security</t>
  </si>
  <si>
    <t>Common Area Water</t>
  </si>
  <si>
    <t>Utility</t>
  </si>
  <si>
    <t>Common Area Electricity</t>
  </si>
  <si>
    <t>Garbage Collection</t>
  </si>
  <si>
    <t>Internet / CCTV</t>
  </si>
  <si>
    <t>Plumbing &amp; Repairs</t>
  </si>
  <si>
    <t>Maintenance</t>
  </si>
  <si>
    <t>Electrical Repairs</t>
  </si>
  <si>
    <t>Painting &amp; Decoration</t>
  </si>
  <si>
    <t>Cleaning &amp; Fumigation</t>
  </si>
  <si>
    <t>Structural / Civil Works</t>
  </si>
  <si>
    <t>Legal &amp; Professional Fees</t>
  </si>
  <si>
    <t>Admin</t>
  </si>
  <si>
    <t>Advertising / Re-letting</t>
  </si>
  <si>
    <t>Accounting / Bookkeeping</t>
  </si>
  <si>
    <t>Bank Charges</t>
  </si>
  <si>
    <t>Capital Improvement</t>
  </si>
  <si>
    <t>CapEx</t>
  </si>
  <si>
    <t>Miscellaneous / Other</t>
  </si>
  <si>
    <t>Variable</t>
  </si>
  <si>
    <t>TOTAL EXPENSES</t>
  </si>
  <si>
    <t>📈  PROFIT &amp; LOSS 2026 — Fully automatic. Do NOT type here. Reads from Rent Tracker &amp; Expenses.</t>
  </si>
  <si>
    <t>Line Item</t>
  </si>
  <si>
    <t>YTD Total</t>
  </si>
  <si>
    <t>── INCOME ──</t>
  </si>
  <si>
    <t>Rent Collected</t>
  </si>
  <si>
    <t>Income</t>
  </si>
  <si>
    <t>Other Income</t>
  </si>
  <si>
    <t>TOTAL INCOME</t>
  </si>
  <si>
    <t>Subtotal</t>
  </si>
  <si>
    <t>── EXPENSES ──</t>
  </si>
  <si>
    <t>Total Expenses</t>
  </si>
  <si>
    <t>Expense</t>
  </si>
  <si>
    <t>NET PROFIT</t>
  </si>
  <si>
    <t>Occupancy Rate</t>
  </si>
  <si>
    <t>KPI</t>
  </si>
  <si>
    <t>Collection Rate</t>
  </si>
  <si>
    <t>IAN</t>
  </si>
  <si>
    <t>JAMES</t>
  </si>
  <si>
    <t>KELVIN</t>
  </si>
  <si>
    <t>JOHN</t>
  </si>
  <si>
    <t>Legal</t>
  </si>
  <si>
    <t>Notice Issued</t>
  </si>
  <si>
    <t>Pending</t>
  </si>
  <si>
    <t>High</t>
  </si>
  <si>
    <t>Yes</t>
  </si>
  <si>
    <t>Painting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</si>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</sst>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KSh &quot;#,##0"/>
    <numFmt numFmtId="166" formatCode="&quot;KSh &quot;#,##0;[Red]&quot;KSh -&quot;#,##0;\-"/>
    <numFmt numFmtId="167" formatCode="dd/mm/yyyy"/>
  </numFmts>
  <fonts count="49" x14ac:knownFonts="1">
    <font>
      <sz val="11"/>
      <color theme="1"/>
      <name val="Calibri"/>
      <family val="2"/>
      <charset val="1"/>
    </font>
    <font>
      <b/>
      <sz val="20"/>
      <color rgb="FFD4AF37"/>
      <name val="Calibri"/>
      <charset val="1"/>
    </font>
    <font>
      <b/>
      <sz val="10"/>
      <color rgb="FF8B949E"/>
      <name val="Calibri"/>
      <charset val="1"/>
    </font>
    <font>
      <b/>
      <sz val="20"/>
      <color rgb="FF2ECC71"/>
      <name val="Calibri"/>
      <charset val="1"/>
    </font>
    <font>
      <b/>
      <sz val="20"/>
      <color rgb="FFE74C3C"/>
      <name val="Calibri"/>
      <charset val="1"/>
    </font>
    <font>
      <b/>
      <sz val="20"/>
      <color rgb="FF1ABC9C"/>
      <name val="Calibri"/>
      <charset val="1"/>
    </font>
    <font>
      <b/>
      <sz val="20"/>
      <color rgb="FFF39C12"/>
      <name val="Calibri"/>
      <charset val="1"/>
    </font>
    <font>
      <b/>
      <sz val="12"/>
      <color rgb="FFE74C3C"/>
      <name val="Calibri"/>
      <charset val="1"/>
    </font>
    <font>
      <b/>
      <sz val="9"/>
      <color rgb="FF8B949E"/>
      <name val="Calibri"/>
      <charset val="1"/>
    </font>
    <font>
      <sz val="9"/>
      <color rgb="FFD4AF37"/>
      <name val="Calibri"/>
      <charset val="1"/>
    </font>
    <font>
      <sz val="9"/>
      <color rgb="FFFFFFFF"/>
      <name val="Calibri"/>
      <charset val="1"/>
    </font>
    <font>
      <sz val="9"/>
      <color rgb="FF2ECC71"/>
      <name val="Calibri"/>
      <charset val="1"/>
    </font>
    <font>
      <sz val="9"/>
      <color rgb="FFE74C3C"/>
      <name val="Calibri"/>
      <charset val="1"/>
    </font>
    <font>
      <sz val="9"/>
      <color rgb="FFF39C12"/>
      <name val="Calibri"/>
      <charset val="1"/>
    </font>
    <font>
      <i/>
      <sz val="9"/>
      <color rgb="FF8B949E"/>
      <name val="Calibri"/>
      <charset val="1"/>
    </font>
    <font>
      <sz val="8"/>
      <color rgb="FF8B949E"/>
      <name val="Calibri"/>
      <charset val="1"/>
    </font>
    <font>
      <b/>
      <sz val="13"/>
      <color rgb="FFD4AF37"/>
      <name val="Calibri"/>
      <charset val="1"/>
    </font>
    <font>
      <b/>
      <sz val="10"/>
      <color rgb="FFD4AF37"/>
      <name val="Calibri"/>
      <charset val="1"/>
    </font>
    <font>
      <b/>
      <sz val="10"/>
      <color rgb="FFFFFFFF"/>
      <name val="Calibri"/>
      <charset val="1"/>
    </font>
    <font>
      <b/>
      <sz val="10"/>
      <color rgb="FF3498DB"/>
      <name val="Calibri"/>
      <charset val="1"/>
    </font>
    <font>
      <b/>
      <sz val="10"/>
      <color rgb="FF1ABC9C"/>
      <name val="Calibri"/>
      <charset val="1"/>
    </font>
    <font>
      <b/>
      <sz val="10"/>
      <color rgb="FFF39C12"/>
      <name val="Calibri"/>
      <charset val="1"/>
    </font>
    <font>
      <b/>
      <sz val="10"/>
      <color rgb="FF5BB8FF"/>
      <name val="Calibri"/>
      <charset val="1"/>
    </font>
    <font>
      <b/>
      <sz val="10"/>
      <color rgb="FF2ECC71"/>
      <name val="Calibri"/>
      <charset val="1"/>
    </font>
    <font>
      <b/>
      <sz val="10"/>
      <color rgb="FFE74C3C"/>
      <name val="Calibri"/>
      <charset val="1"/>
    </font>
    <font>
      <sz val="10"/>
      <color rgb="FFFFFFFF"/>
      <name val="Calibri"/>
      <charset val="1"/>
    </font>
    <font>
      <sz val="10"/>
      <color rgb="FF4488FF"/>
      <name val="Calibri"/>
      <charset val="1"/>
    </font>
    <font>
      <sz val="10"/>
      <color rgb="FF8B949E"/>
      <name val="Calibri"/>
      <charset val="1"/>
    </font>
    <font>
      <sz val="10"/>
      <color rgb="FFF39C12"/>
      <name val="Calibri"/>
      <charset val="1"/>
    </font>
    <font>
      <sz val="10"/>
      <color rgb="FF1ABC9C"/>
      <name val="Calibri"/>
      <charset val="1"/>
    </font>
    <font>
      <b/>
      <sz val="11"/>
      <color rgb="FFD4AF37"/>
      <name val="Calibri"/>
      <charset val="1"/>
    </font>
    <font>
      <b/>
      <sz val="11"/>
      <color rgb="FF2ECC71"/>
      <name val="Calibri"/>
      <charset val="1"/>
    </font>
    <font>
      <b/>
      <sz val="11"/>
      <color rgb="FFE74C3C"/>
      <name val="Calibri"/>
      <charset val="1"/>
    </font>
    <font>
      <b/>
      <sz val="9"/>
      <color rgb="FFD4AF37"/>
      <name val="Calibri"/>
      <charset val="1"/>
    </font>
    <font>
      <b/>
      <sz val="9"/>
      <color rgb="FF5BB8FF"/>
      <name val="Calibri"/>
      <charset val="1"/>
    </font>
    <font>
      <b/>
      <sz val="9"/>
      <color rgb="FF2ECC71"/>
      <name val="Calibri"/>
      <charset val="1"/>
    </font>
    <font>
      <b/>
      <sz val="9"/>
      <color rgb="FFE74C3C"/>
      <name val="Calibri"/>
      <charset val="1"/>
    </font>
    <font>
      <b/>
      <sz val="9"/>
      <color rgb="FF3498DB"/>
      <name val="Calibri"/>
      <charset val="1"/>
    </font>
    <font>
      <b/>
      <sz val="10"/>
      <color rgb="FF0D1117"/>
      <name val="Calibri"/>
      <charset val="1"/>
    </font>
    <font>
      <sz val="10"/>
      <color rgb="FFD4AF37"/>
      <name val="Calibri"/>
      <charset val="1"/>
    </font>
    <font>
      <sz val="10"/>
      <color rgb="FF2ECC71"/>
      <name val="Calibri"/>
      <charset val="1"/>
    </font>
    <font>
      <sz val="9"/>
      <color rgb="FF1ABC9C"/>
      <name val="Calibri"/>
      <charset val="1"/>
    </font>
    <font>
      <b/>
      <sz val="13"/>
      <color rgb="FF9B59B6"/>
      <name val="Calibri"/>
      <charset val="1"/>
    </font>
    <font>
      <b/>
      <sz val="13"/>
      <color rgb="FFF39C12"/>
      <name val="Calibri"/>
      <charset val="1"/>
    </font>
    <font>
      <sz val="9"/>
      <color rgb="FF8B949E"/>
      <name val="Calibri"/>
      <charset val="1"/>
    </font>
    <font>
      <i/>
      <sz val="9"/>
      <color rgb="FF1ABC9C"/>
      <name val="Calibri"/>
      <charset val="1"/>
    </font>
    <font>
      <b/>
      <sz val="13"/>
      <color rgb="FF1ABC9C"/>
      <name val="Calibri"/>
      <charset val="1"/>
    </font>
    <font>
      <b/>
      <sz val="11"/>
      <color rgb="FF1ABC9C"/>
      <name val="Calibri"/>
      <charset val="1"/>
    </font>
    <font>
      <b/>
      <sz val="14"/>
      <color rgb="FFD4AF37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117"/>
        <bgColor rgb="FF0A1A2A"/>
      </patternFill>
    </fill>
    <fill>
      <patternFill patternType="solid">
        <fgColor rgb="FF161B22"/>
        <bgColor rgb="FF0A1A2A"/>
      </patternFill>
    </fill>
    <fill>
      <patternFill patternType="solid">
        <fgColor rgb="FF21262D"/>
        <bgColor rgb="FF161B22"/>
      </patternFill>
    </fill>
    <fill>
      <patternFill patternType="solid">
        <fgColor rgb="FF0A2A4A"/>
        <bgColor rgb="FF0D2A40"/>
      </patternFill>
    </fill>
    <fill>
      <patternFill patternType="solid">
        <fgColor rgb="FF0D2818"/>
        <bgColor rgb="FF0A1E30"/>
      </patternFill>
    </fill>
    <fill>
      <patternFill patternType="solid">
        <fgColor rgb="FF3A1A0D"/>
        <bgColor rgb="FF3A1A1A"/>
      </patternFill>
    </fill>
    <fill>
      <patternFill patternType="solid">
        <fgColor rgb="FF3A1A1A"/>
        <bgColor rgb="FF3A1A0D"/>
      </patternFill>
    </fill>
    <fill>
      <patternFill patternType="solid">
        <fgColor rgb="FF0D2A40"/>
        <bgColor rgb="FF0A2A4A"/>
      </patternFill>
    </fill>
    <fill>
      <patternFill patternType="solid">
        <fgColor rgb="FF0A1E30"/>
        <bgColor rgb="FF0A1A2A"/>
      </patternFill>
    </fill>
    <fill>
      <patternFill patternType="solid">
        <fgColor rgb="FF0A1A2A"/>
        <bgColor rgb="FF0A1E30"/>
      </patternFill>
    </fill>
    <fill>
      <patternFill patternType="solid">
        <fgColor rgb="FF2A1A4A"/>
        <bgColor rgb="FF21262D"/>
      </patternFill>
    </fill>
  </fills>
  <borders count="18">
    <border>
      <left/>
      <right/>
      <top/>
      <bottom/>
      <diagonal/>
    </border>
    <border>
      <left style="medium">
        <color rgb="FFD4AF37"/>
      </left>
      <right/>
      <top style="medium">
        <color rgb="FFD4AF37"/>
      </top>
      <bottom style="medium">
        <color rgb="FFD4AF37"/>
      </bottom>
      <diagonal/>
    </border>
    <border>
      <left style="thin">
        <color rgb="FF30363D"/>
      </left>
      <right/>
      <top style="medium">
        <color rgb="FF2ECC71"/>
      </top>
      <bottom style="thin">
        <color rgb="FF30363D"/>
      </bottom>
      <diagonal/>
    </border>
    <border>
      <left style="thin">
        <color rgb="FF30363D"/>
      </left>
      <right/>
      <top style="medium">
        <color rgb="FFE74C3C"/>
      </top>
      <bottom style="thin">
        <color rgb="FF30363D"/>
      </bottom>
      <diagonal/>
    </border>
    <border>
      <left style="thin">
        <color rgb="FF30363D"/>
      </left>
      <right/>
      <top style="medium">
        <color rgb="FFD4AF37"/>
      </top>
      <bottom style="thin">
        <color rgb="FF30363D"/>
      </bottom>
      <diagonal/>
    </border>
    <border>
      <left style="thin">
        <color rgb="FF30363D"/>
      </left>
      <right/>
      <top style="medium">
        <color rgb="FF1ABC9C"/>
      </top>
      <bottom style="thin">
        <color rgb="FF30363D"/>
      </bottom>
      <diagonal/>
    </border>
    <border>
      <left style="thin">
        <color rgb="FF30363D"/>
      </left>
      <right/>
      <top style="thin">
        <color rgb="FF30363D"/>
      </top>
      <bottom style="medium">
        <color rgb="FF2ECC71"/>
      </bottom>
      <diagonal/>
    </border>
    <border>
      <left style="thin">
        <color rgb="FF30363D"/>
      </left>
      <right/>
      <top style="thin">
        <color rgb="FF30363D"/>
      </top>
      <bottom style="medium">
        <color rgb="FFE74C3C"/>
      </bottom>
      <diagonal/>
    </border>
    <border>
      <left style="thin">
        <color rgb="FF30363D"/>
      </left>
      <right/>
      <top style="thin">
        <color rgb="FF30363D"/>
      </top>
      <bottom style="medium">
        <color rgb="FFD4AF37"/>
      </bottom>
      <diagonal/>
    </border>
    <border>
      <left style="thin">
        <color rgb="FF30363D"/>
      </left>
      <right/>
      <top style="thin">
        <color rgb="FF30363D"/>
      </top>
      <bottom style="medium">
        <color rgb="FF1ABC9C"/>
      </bottom>
      <diagonal/>
    </border>
    <border>
      <left style="thin">
        <color rgb="FF30363D"/>
      </left>
      <right/>
      <top style="medium">
        <color rgb="FFF39C12"/>
      </top>
      <bottom style="thin">
        <color rgb="FF30363D"/>
      </bottom>
      <diagonal/>
    </border>
    <border>
      <left style="thin">
        <color rgb="FF30363D"/>
      </left>
      <right/>
      <top style="thin">
        <color rgb="FF30363D"/>
      </top>
      <bottom style="medium">
        <color rgb="FFF39C12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1A5A8A"/>
      </left>
      <right style="thin">
        <color rgb="FF1A5A8A"/>
      </right>
      <top style="thin">
        <color rgb="FF1A5A8A"/>
      </top>
      <bottom style="thin">
        <color rgb="FF1A5A8A"/>
      </bottom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  <border>
      <left style="thin">
        <color rgb="FFE74C3C"/>
      </left>
      <right style="thin">
        <color rgb="FFE74C3C"/>
      </right>
      <top style="thin">
        <color rgb="FFE74C3C"/>
      </top>
      <bottom style="thin">
        <color rgb="FFE74C3C"/>
      </bottom>
      <diagonal/>
    </border>
    <border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7" fillId="3" borderId="0" xfId="0" applyFont="1" applyFill="1" applyAlignment="1">
      <alignment horizontal="left" vertical="center"/>
    </xf>
    <xf numFmtId="165" fontId="6" fillId="4" borderId="11" xfId="0" applyNumberFormat="1" applyFont="1" applyFill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165" fontId="3" fillId="4" borderId="6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65" fontId="5" fillId="4" borderId="9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/>
    <xf numFmtId="0" fontId="8" fillId="4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left" vertical="center"/>
    </xf>
    <xf numFmtId="166" fontId="10" fillId="2" borderId="12" xfId="0" applyNumberFormat="1" applyFont="1" applyFill="1" applyBorder="1" applyAlignment="1">
      <alignment horizontal="right" vertical="center"/>
    </xf>
    <xf numFmtId="166" fontId="11" fillId="2" borderId="12" xfId="0" applyNumberFormat="1" applyFont="1" applyFill="1" applyBorder="1" applyAlignment="1">
      <alignment horizontal="right" vertical="center"/>
    </xf>
    <xf numFmtId="166" fontId="12" fillId="2" borderId="12" xfId="0" applyNumberFormat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left" vertical="center"/>
    </xf>
    <xf numFmtId="166" fontId="10" fillId="4" borderId="12" xfId="0" applyNumberFormat="1" applyFont="1" applyFill="1" applyBorder="1" applyAlignment="1">
      <alignment horizontal="right" vertical="center"/>
    </xf>
    <xf numFmtId="166" fontId="11" fillId="4" borderId="12" xfId="0" applyNumberFormat="1" applyFont="1" applyFill="1" applyBorder="1" applyAlignment="1">
      <alignment horizontal="right" vertical="center"/>
    </xf>
    <xf numFmtId="166" fontId="12" fillId="4" borderId="12" xfId="0" applyNumberFormat="1" applyFont="1" applyFill="1" applyBorder="1" applyAlignment="1">
      <alignment horizontal="right" vertical="center"/>
    </xf>
    <xf numFmtId="0" fontId="13" fillId="4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5" fillId="2" borderId="0" xfId="0" applyFont="1" applyFill="1"/>
    <xf numFmtId="165" fontId="15" fillId="2" borderId="0" xfId="0" applyNumberFormat="1" applyFont="1" applyFill="1"/>
    <xf numFmtId="0" fontId="17" fillId="3" borderId="12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2" fillId="5" borderId="13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0" fontId="24" fillId="8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8" fillId="4" borderId="12" xfId="0" applyFont="1" applyFill="1" applyBorder="1"/>
    <xf numFmtId="0" fontId="25" fillId="4" borderId="12" xfId="0" applyFont="1" applyFill="1" applyBorder="1" applyAlignment="1">
      <alignment horizontal="left" vertical="center"/>
    </xf>
    <xf numFmtId="0" fontId="25" fillId="4" borderId="12" xfId="0" applyFont="1" applyFill="1" applyBorder="1" applyAlignment="1">
      <alignment horizontal="center" vertical="center"/>
    </xf>
    <xf numFmtId="166" fontId="26" fillId="4" borderId="12" xfId="0" applyNumberFormat="1" applyFont="1" applyFill="1" applyBorder="1" applyAlignment="1">
      <alignment horizontal="right" vertical="center"/>
    </xf>
    <xf numFmtId="167" fontId="27" fillId="4" borderId="12" xfId="0" applyNumberFormat="1" applyFont="1" applyFill="1" applyBorder="1" applyAlignment="1">
      <alignment horizontal="center" vertical="center"/>
    </xf>
    <xf numFmtId="166" fontId="22" fillId="9" borderId="13" xfId="0" applyNumberFormat="1" applyFont="1" applyFill="1" applyBorder="1" applyAlignment="1">
      <alignment horizontal="right" vertical="center"/>
    </xf>
    <xf numFmtId="166" fontId="0" fillId="2" borderId="12" xfId="0" applyNumberFormat="1" applyFill="1" applyBorder="1" applyAlignment="1">
      <alignment horizontal="right" vertical="center"/>
    </xf>
    <xf numFmtId="166" fontId="23" fillId="2" borderId="12" xfId="0" applyNumberFormat="1" applyFont="1" applyFill="1" applyBorder="1" applyAlignment="1">
      <alignment horizontal="right" vertical="center"/>
    </xf>
    <xf numFmtId="166" fontId="28" fillId="2" borderId="12" xfId="0" applyNumberFormat="1" applyFont="1" applyFill="1" applyBorder="1" applyAlignment="1">
      <alignment horizontal="right" vertical="center"/>
    </xf>
    <xf numFmtId="0" fontId="25" fillId="2" borderId="12" xfId="0" applyFont="1" applyFill="1" applyBorder="1" applyAlignment="1">
      <alignment horizontal="center" vertical="center"/>
    </xf>
    <xf numFmtId="0" fontId="14" fillId="4" borderId="12" xfId="0" applyFont="1" applyFill="1" applyBorder="1"/>
    <xf numFmtId="0" fontId="17" fillId="2" borderId="12" xfId="0" applyFont="1" applyFill="1" applyBorder="1" applyAlignment="1">
      <alignment horizontal="center" vertical="center"/>
    </xf>
    <xf numFmtId="0" fontId="18" fillId="2" borderId="12" xfId="0" applyFont="1" applyFill="1" applyBorder="1"/>
    <xf numFmtId="0" fontId="25" fillId="2" borderId="12" xfId="0" applyFont="1" applyFill="1" applyBorder="1" applyAlignment="1">
      <alignment horizontal="left" vertical="center"/>
    </xf>
    <xf numFmtId="166" fontId="26" fillId="2" borderId="12" xfId="0" applyNumberFormat="1" applyFont="1" applyFill="1" applyBorder="1" applyAlignment="1">
      <alignment horizontal="right" vertical="center"/>
    </xf>
    <xf numFmtId="167" fontId="29" fillId="2" borderId="12" xfId="0" applyNumberFormat="1" applyFont="1" applyFill="1" applyBorder="1" applyAlignment="1">
      <alignment horizontal="center" vertical="center"/>
    </xf>
    <xf numFmtId="167" fontId="28" fillId="2" borderId="12" xfId="0" applyNumberFormat="1" applyFont="1" applyFill="1" applyBorder="1" applyAlignment="1">
      <alignment horizontal="center" vertical="center"/>
    </xf>
    <xf numFmtId="166" fontId="22" fillId="10" borderId="13" xfId="0" applyNumberFormat="1" applyFont="1" applyFill="1" applyBorder="1" applyAlignment="1">
      <alignment horizontal="right" vertical="center"/>
    </xf>
    <xf numFmtId="0" fontId="14" fillId="2" borderId="12" xfId="0" applyFont="1" applyFill="1" applyBorder="1"/>
    <xf numFmtId="167" fontId="29" fillId="4" borderId="12" xfId="0" applyNumberFormat="1" applyFont="1" applyFill="1" applyBorder="1" applyAlignment="1">
      <alignment horizontal="center" vertical="center"/>
    </xf>
    <xf numFmtId="167" fontId="28" fillId="4" borderId="12" xfId="0" applyNumberFormat="1" applyFont="1" applyFill="1" applyBorder="1" applyAlignment="1">
      <alignment horizontal="center" vertical="center"/>
    </xf>
    <xf numFmtId="167" fontId="27" fillId="2" borderId="12" xfId="0" applyNumberFormat="1" applyFont="1" applyFill="1" applyBorder="1" applyAlignment="1">
      <alignment horizontal="center" vertical="center"/>
    </xf>
    <xf numFmtId="0" fontId="24" fillId="4" borderId="12" xfId="0" applyFont="1" applyFill="1" applyBorder="1"/>
    <xf numFmtId="0" fontId="27" fillId="4" borderId="12" xfId="0" applyFont="1" applyFill="1" applyBorder="1" applyAlignment="1">
      <alignment horizontal="left" vertical="center"/>
    </xf>
    <xf numFmtId="0" fontId="27" fillId="4" borderId="12" xfId="0" applyFont="1" applyFill="1" applyBorder="1" applyAlignment="1">
      <alignment horizontal="center" vertical="center"/>
    </xf>
    <xf numFmtId="166" fontId="27" fillId="4" borderId="12" xfId="0" applyNumberFormat="1" applyFont="1" applyFill="1" applyBorder="1" applyAlignment="1">
      <alignment horizontal="right" vertical="center"/>
    </xf>
    <xf numFmtId="0" fontId="27" fillId="4" borderId="12" xfId="0" applyFont="1" applyFill="1" applyBorder="1"/>
    <xf numFmtId="166" fontId="23" fillId="4" borderId="12" xfId="0" applyNumberFormat="1" applyFont="1" applyFill="1" applyBorder="1" applyAlignment="1">
      <alignment horizontal="right" vertical="center"/>
    </xf>
    <xf numFmtId="166" fontId="28" fillId="4" borderId="12" xfId="0" applyNumberFormat="1" applyFont="1" applyFill="1" applyBorder="1" applyAlignment="1">
      <alignment horizontal="right" vertical="center"/>
    </xf>
    <xf numFmtId="166" fontId="0" fillId="4" borderId="12" xfId="0" applyNumberFormat="1" applyFill="1" applyBorder="1" applyAlignment="1">
      <alignment horizontal="right" vertical="center"/>
    </xf>
    <xf numFmtId="0" fontId="24" fillId="2" borderId="12" xfId="0" applyFont="1" applyFill="1" applyBorder="1"/>
    <xf numFmtId="0" fontId="27" fillId="2" borderId="12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center" vertical="center"/>
    </xf>
    <xf numFmtId="166" fontId="27" fillId="2" borderId="12" xfId="0" applyNumberFormat="1" applyFont="1" applyFill="1" applyBorder="1" applyAlignment="1">
      <alignment horizontal="right" vertical="center"/>
    </xf>
    <xf numFmtId="0" fontId="27" fillId="2" borderId="12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0" fillId="3" borderId="14" xfId="0" applyFill="1" applyBorder="1"/>
    <xf numFmtId="166" fontId="30" fillId="3" borderId="14" xfId="0" applyNumberFormat="1" applyFont="1" applyFill="1" applyBorder="1" applyAlignment="1">
      <alignment horizontal="right" vertical="center"/>
    </xf>
    <xf numFmtId="166" fontId="31" fillId="6" borderId="14" xfId="0" applyNumberFormat="1" applyFont="1" applyFill="1" applyBorder="1" applyAlignment="1">
      <alignment horizontal="right" vertical="center"/>
    </xf>
    <xf numFmtId="166" fontId="32" fillId="8" borderId="14" xfId="0" applyNumberFormat="1" applyFont="1" applyFill="1" applyBorder="1" applyAlignment="1">
      <alignment horizontal="right" vertical="center"/>
    </xf>
    <xf numFmtId="0" fontId="18" fillId="8" borderId="15" xfId="0" applyFont="1" applyFill="1" applyBorder="1" applyAlignment="1">
      <alignment horizontal="center" vertical="center"/>
    </xf>
    <xf numFmtId="0" fontId="38" fillId="8" borderId="15" xfId="0" applyFont="1" applyFill="1" applyBorder="1" applyAlignment="1">
      <alignment horizontal="center" vertical="center"/>
    </xf>
    <xf numFmtId="0" fontId="39" fillId="4" borderId="12" xfId="0" applyFont="1" applyFill="1" applyBorder="1" applyAlignment="1">
      <alignment horizontal="center" vertical="center"/>
    </xf>
    <xf numFmtId="166" fontId="25" fillId="4" borderId="12" xfId="0" applyNumberFormat="1" applyFont="1" applyFill="1" applyBorder="1" applyAlignment="1">
      <alignment horizontal="right" vertical="center"/>
    </xf>
    <xf numFmtId="166" fontId="40" fillId="4" borderId="12" xfId="0" applyNumberFormat="1" applyFont="1" applyFill="1" applyBorder="1" applyAlignment="1">
      <alignment horizontal="right" vertical="center"/>
    </xf>
    <xf numFmtId="166" fontId="24" fillId="4" borderId="12" xfId="0" applyNumberFormat="1" applyFont="1" applyFill="1" applyBorder="1" applyAlignment="1">
      <alignment horizontal="right" vertical="center"/>
    </xf>
    <xf numFmtId="0" fontId="21" fillId="4" borderId="12" xfId="0" applyFont="1" applyFill="1" applyBorder="1" applyAlignment="1">
      <alignment horizontal="center" vertical="center"/>
    </xf>
    <xf numFmtId="167" fontId="25" fillId="4" borderId="12" xfId="0" applyNumberFormat="1" applyFont="1" applyFill="1" applyBorder="1" applyAlignment="1">
      <alignment horizontal="left" vertical="center"/>
    </xf>
    <xf numFmtId="0" fontId="41" fillId="4" borderId="1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left" vertical="center"/>
    </xf>
    <xf numFmtId="0" fontId="39" fillId="2" borderId="12" xfId="0" applyFont="1" applyFill="1" applyBorder="1" applyAlignment="1">
      <alignment horizontal="center" vertical="center"/>
    </xf>
    <xf numFmtId="166" fontId="25" fillId="2" borderId="12" xfId="0" applyNumberFormat="1" applyFont="1" applyFill="1" applyBorder="1" applyAlignment="1">
      <alignment horizontal="right" vertical="center"/>
    </xf>
    <xf numFmtId="166" fontId="40" fillId="2" borderId="12" xfId="0" applyNumberFormat="1" applyFont="1" applyFill="1" applyBorder="1" applyAlignment="1">
      <alignment horizontal="right" vertical="center"/>
    </xf>
    <xf numFmtId="166" fontId="24" fillId="2" borderId="12" xfId="0" applyNumberFormat="1" applyFont="1" applyFill="1" applyBorder="1" applyAlignment="1">
      <alignment horizontal="right" vertical="center"/>
    </xf>
    <xf numFmtId="0" fontId="21" fillId="2" borderId="12" xfId="0" applyFont="1" applyFill="1" applyBorder="1" applyAlignment="1">
      <alignment horizontal="center" vertical="center"/>
    </xf>
    <xf numFmtId="167" fontId="25" fillId="2" borderId="12" xfId="0" applyNumberFormat="1" applyFont="1" applyFill="1" applyBorder="1" applyAlignment="1">
      <alignment horizontal="left" vertical="center"/>
    </xf>
    <xf numFmtId="0" fontId="41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left" vertical="center"/>
    </xf>
    <xf numFmtId="166" fontId="31" fillId="3" borderId="14" xfId="0" applyNumberFormat="1" applyFont="1" applyFill="1" applyBorder="1" applyAlignment="1">
      <alignment horizontal="right" vertical="center"/>
    </xf>
    <xf numFmtId="166" fontId="32" fillId="3" borderId="14" xfId="0" applyNumberFormat="1" applyFont="1" applyFill="1" applyBorder="1" applyAlignment="1">
      <alignment horizontal="right" vertical="center"/>
    </xf>
    <xf numFmtId="0" fontId="18" fillId="12" borderId="16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left" vertical="center"/>
    </xf>
    <xf numFmtId="166" fontId="21" fillId="4" borderId="12" xfId="0" applyNumberFormat="1" applyFont="1" applyFill="1" applyBorder="1" applyAlignment="1">
      <alignment horizontal="right" vertical="center"/>
    </xf>
    <xf numFmtId="0" fontId="33" fillId="4" borderId="12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left" vertical="center"/>
    </xf>
    <xf numFmtId="166" fontId="21" fillId="2" borderId="12" xfId="0" applyNumberFormat="1" applyFont="1" applyFill="1" applyBorder="1" applyAlignment="1">
      <alignment horizontal="right" vertical="center"/>
    </xf>
    <xf numFmtId="0" fontId="33" fillId="2" borderId="12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44" fillId="4" borderId="12" xfId="0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 vertical="center"/>
    </xf>
    <xf numFmtId="0" fontId="45" fillId="4" borderId="12" xfId="0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166" fontId="30" fillId="3" borderId="12" xfId="0" applyNumberFormat="1" applyFont="1" applyFill="1" applyBorder="1" applyAlignment="1">
      <alignment horizontal="right" vertical="center"/>
    </xf>
    <xf numFmtId="166" fontId="48" fillId="3" borderId="12" xfId="0" applyNumberFormat="1" applyFont="1" applyFill="1" applyBorder="1" applyAlignment="1">
      <alignment horizontal="right" vertical="center"/>
    </xf>
    <xf numFmtId="164" fontId="47" fillId="4" borderId="12" xfId="0" applyNumberFormat="1" applyFont="1" applyFill="1" applyBorder="1" applyAlignment="1">
      <alignment horizontal="right" vertical="center"/>
    </xf>
    <xf numFmtId="164" fontId="31" fillId="2" borderId="12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33" fillId="2" borderId="0" xfId="0" applyFont="1" applyFill="1"/>
    <xf numFmtId="0" fontId="34" fillId="5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43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left" vertical="center"/>
    </xf>
    <xf numFmtId="0" fontId="46" fillId="3" borderId="0" xfId="0" applyFont="1" applyFill="1" applyAlignment="1">
      <alignment horizontal="left" vertical="center"/>
    </xf>
    <xf numFmtId="0" fontId="47" fillId="3" borderId="0" xfId="0" applyFont="1" applyFill="1" applyAlignment="1">
      <alignment horizontal="left" vertical="center"/>
    </xf>
  </cellXfs>
  <cellStyles count="1">
    <cellStyle name="Normal" xfId="0" builtinId="0"/>
  </cellStyles>
  <dxfs count="63"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F39C12"/>
        <name val="Calibri"/>
        <charset val="1"/>
      </font>
      <fill>
        <patternFill>
          <bgColor rgb="FF3A1A0D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F39C12"/>
        <name val="Calibri"/>
        <charset val="1"/>
      </font>
      <fill>
        <patternFill>
          <bgColor rgb="FF3A1A0D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F39C12"/>
        <name val="Calibri"/>
        <charset val="1"/>
      </font>
      <fill>
        <patternFill>
          <bgColor rgb="FF3A1A0D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10"/>
        <color rgb="FF3498DB"/>
        <name val="Calibri"/>
        <charset val="1"/>
      </font>
      <fill>
        <patternFill>
          <bgColor rgb="FF0A1A2A"/>
        </patternFill>
      </fill>
    </dxf>
    <dxf>
      <font>
        <b/>
        <sz val="10"/>
        <color rgb="FF2ECC71"/>
        <name val="Calibri"/>
        <charset val="1"/>
      </font>
      <fill>
        <patternFill>
          <bgColor rgb="FF0D2818"/>
        </patternFill>
      </fill>
    </dxf>
    <dxf>
      <font>
        <b/>
        <sz val="10"/>
        <color rgb="FFE74C3C"/>
        <name val="Calibri"/>
        <charset val="1"/>
      </font>
      <fill>
        <patternFill>
          <bgColor rgb="FF3A1A1A"/>
        </patternFill>
      </fill>
    </dxf>
    <dxf>
      <font>
        <b/>
        <sz val="9"/>
        <color rgb="FFF39C12"/>
        <name val="Calibri"/>
        <charset val="1"/>
      </font>
      <fill>
        <patternFill>
          <bgColor rgb="FF3A1A0D"/>
        </patternFill>
      </fill>
    </dxf>
    <dxf>
      <font>
        <b/>
        <sz val="9"/>
        <color rgb="FF2ECC71"/>
        <name val="Calibri"/>
        <charset val="1"/>
      </font>
      <fill>
        <patternFill>
          <bgColor rgb="FF0D2818"/>
        </patternFill>
      </fill>
    </dxf>
    <dxf>
      <font>
        <b/>
        <sz val="9"/>
        <color rgb="FFE74C3C"/>
        <name val="Calibri"/>
        <charset val="1"/>
      </font>
      <fill>
        <patternFill>
          <bgColor rgb="FF3A1A1A"/>
        </patternFill>
      </fill>
    </dxf>
    <dxf>
      <font>
        <b/>
        <sz val="9"/>
        <color rgb="FF2ECC71"/>
        <name val="Calibri"/>
        <charset val="1"/>
      </font>
      <fill>
        <patternFill>
          <bgColor rgb="FF0D2818"/>
        </patternFill>
      </fill>
    </dxf>
    <dxf>
      <font>
        <b/>
        <sz val="9"/>
        <color rgb="FFE74C3C"/>
        <name val="Calibri"/>
        <charset val="1"/>
      </font>
      <fill>
        <patternFill>
          <bgColor rgb="FF3A1A1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1262D"/>
      <rgbColor rgb="FF0D2A40"/>
      <rgbColor rgb="FF0A1A2A"/>
      <rgbColor rgb="FF808000"/>
      <rgbColor rgb="FF0D1117"/>
      <rgbColor rgb="FF008080"/>
      <rgbColor rgb="FFC0C0C0"/>
      <rgbColor rgb="FF878787"/>
      <rgbColor rgb="FF9999FF"/>
      <rgbColor rgb="FF993366"/>
      <rgbColor rgb="FFF9F9F9"/>
      <rgbColor rgb="FFCCFFFF"/>
      <rgbColor rgb="FF3A1A1A"/>
      <rgbColor rgb="FFFF8080"/>
      <rgbColor rgb="FF1A5A8A"/>
      <rgbColor rgb="FFD9D9D9"/>
      <rgbColor rgb="FF0A1E30"/>
      <rgbColor rgb="FFFF00FF"/>
      <rgbColor rgb="FFFFFF00"/>
      <rgbColor rgb="FF00FFFF"/>
      <rgbColor rgb="FF800080"/>
      <rgbColor rgb="FF161B22"/>
      <rgbColor rgb="FF008080"/>
      <rgbColor rgb="FF0000FF"/>
      <rgbColor rgb="FF2ECC71"/>
      <rgbColor rgb="FFCCFFFF"/>
      <rgbColor rgb="FFCCFFCC"/>
      <rgbColor rgb="FFFFFF99"/>
      <rgbColor rgb="FF5BB8FF"/>
      <rgbColor rgb="FFFF99CC"/>
      <rgbColor rgb="FFCC99FF"/>
      <rgbColor rgb="FFFFCC99"/>
      <rgbColor rgb="FF4488FF"/>
      <rgbColor rgb="FF1ABC9C"/>
      <rgbColor rgb="FF99CC00"/>
      <rgbColor rgb="FFD4AF37"/>
      <rgbColor rgb="FFF39C12"/>
      <rgbColor rgb="FFE74C3C"/>
      <rgbColor rgb="FF9B59B6"/>
      <rgbColor rgb="FF8B949E"/>
      <rgbColor rgb="FF0A2A4A"/>
      <rgbColor rgb="FF3498DB"/>
      <rgbColor rgb="FF0D2818"/>
      <rgbColor rgb="FF3A1A0D"/>
      <rgbColor rgb="FF993300"/>
      <rgbColor rgb="FF993366"/>
      <rgbColor rgb="FF2A1A4A"/>
      <rgbColor rgb="FF303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Rent: Collected vs Expected (Jan–Dec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Dashboard!$C$32</c:f>
              <c:strCache>
                <c:ptCount val="1"/>
                <c:pt idx="0">
                  <c:v>Collected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Dashboard!$C$33:$C$44</c:f>
              <c:numCache>
                <c:formatCode>"KSh "#,##0</c:formatCode>
                <c:ptCount val="12"/>
                <c:pt idx="0">
                  <c:v>179000</c:v>
                </c:pt>
                <c:pt idx="1">
                  <c:v>7000</c:v>
                </c:pt>
                <c:pt idx="2">
                  <c:v>7000</c:v>
                </c:pt>
                <c:pt idx="3">
                  <c:v>0</c:v>
                </c:pt>
                <c:pt idx="4">
                  <c:v>14000</c:v>
                </c:pt>
                <c:pt idx="5">
                  <c:v>14000</c:v>
                </c:pt>
                <c:pt idx="6">
                  <c:v>26000</c:v>
                </c:pt>
                <c:pt idx="7">
                  <c:v>7000</c:v>
                </c:pt>
                <c:pt idx="8">
                  <c:v>0</c:v>
                </c:pt>
                <c:pt idx="9">
                  <c:v>19000</c:v>
                </c:pt>
                <c:pt idx="10">
                  <c:v>14000</c:v>
                </c:pt>
                <c:pt idx="11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5-4FF9-8B54-3851D5638DB5}"/>
            </c:ext>
          </c:extLst>
        </c:ser>
        <c:ser>
          <c:idx val="1"/>
          <c:order val="1"/>
          <c:tx>
            <c:strRef>
              <c:f>Dashboard!$D$32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2126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Dashboard!$D$33:$D$44</c:f>
              <c:numCache>
                <c:formatCode>"KSh "#,##0</c:formatCode>
                <c:ptCount val="12"/>
                <c:pt idx="0">
                  <c:v>31000</c:v>
                </c:pt>
                <c:pt idx="1">
                  <c:v>31000</c:v>
                </c:pt>
                <c:pt idx="2">
                  <c:v>31000</c:v>
                </c:pt>
                <c:pt idx="3">
                  <c:v>31000</c:v>
                </c:pt>
                <c:pt idx="4">
                  <c:v>31000</c:v>
                </c:pt>
                <c:pt idx="5">
                  <c:v>31000</c:v>
                </c:pt>
                <c:pt idx="6">
                  <c:v>31000</c:v>
                </c:pt>
                <c:pt idx="7">
                  <c:v>31000</c:v>
                </c:pt>
                <c:pt idx="8">
                  <c:v>31000</c:v>
                </c:pt>
                <c:pt idx="9">
                  <c:v>31000</c:v>
                </c:pt>
                <c:pt idx="10">
                  <c:v>31000</c:v>
                </c:pt>
                <c:pt idx="11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5-4FF9-8B54-3851D5638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593113"/>
        <c:axId val="82878675"/>
      </c:barChart>
      <c:catAx>
        <c:axId val="755931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78675"/>
        <c:crosses val="autoZero"/>
        <c:auto val="1"/>
        <c:lblAlgn val="ctr"/>
        <c:lblOffset val="100"/>
        <c:noMultiLvlLbl val="0"/>
      </c:catAx>
      <c:valAx>
        <c:axId val="82878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KSh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KSh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593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Income vs Expenses &amp; Net Profit Trend (Jan–Dec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Dashboard!$C$32</c:f>
              <c:strCache>
                <c:ptCount val="1"/>
                <c:pt idx="0">
                  <c:v>Collected</c:v>
                </c:pt>
              </c:strCache>
            </c:strRef>
          </c:tx>
          <c:spPr>
            <a:ln w="47520">
              <a:solidFill>
                <a:srgbClr val="2ECC7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Dashboard!$C$33:$C$44</c:f>
              <c:numCache>
                <c:formatCode>"KSh "#,##0</c:formatCode>
                <c:ptCount val="12"/>
                <c:pt idx="0">
                  <c:v>179000</c:v>
                </c:pt>
                <c:pt idx="1">
                  <c:v>7000</c:v>
                </c:pt>
                <c:pt idx="2">
                  <c:v>7000</c:v>
                </c:pt>
                <c:pt idx="3">
                  <c:v>0</c:v>
                </c:pt>
                <c:pt idx="4">
                  <c:v>14000</c:v>
                </c:pt>
                <c:pt idx="5">
                  <c:v>14000</c:v>
                </c:pt>
                <c:pt idx="6">
                  <c:v>26000</c:v>
                </c:pt>
                <c:pt idx="7">
                  <c:v>7000</c:v>
                </c:pt>
                <c:pt idx="8">
                  <c:v>0</c:v>
                </c:pt>
                <c:pt idx="9">
                  <c:v>19000</c:v>
                </c:pt>
                <c:pt idx="10">
                  <c:v>14000</c:v>
                </c:pt>
                <c:pt idx="11">
                  <c:v>35000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FC-4AE9-8944-5D3335C5FB3A}"/>
            </c:ext>
          </c:extLst>
        </c:ser>
        <c:ser>
          <c:idx val="1"/>
          <c:order val="1"/>
          <c:tx>
            <c:strRef>
              <c:f>Dashboard!$E$32</c:f>
              <c:strCache>
                <c:ptCount val="1"/>
                <c:pt idx="0">
                  <c:v>Expenses</c:v>
                </c:pt>
              </c:strCache>
            </c:strRef>
          </c:tx>
          <c:spPr>
            <a:ln w="4752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Dashboard!$E$33:$E$44</c:f>
              <c:numCache>
                <c:formatCode>"KSh "#,##0</c:formatCode>
                <c:ptCount val="12"/>
                <c:pt idx="0">
                  <c:v>9000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FC-4AE9-8944-5D3335C5FB3A}"/>
            </c:ext>
          </c:extLst>
        </c:ser>
        <c:ser>
          <c:idx val="2"/>
          <c:order val="2"/>
          <c:tx>
            <c:strRef>
              <c:f>Dashboard!$F$32</c:f>
              <c:strCache>
                <c:ptCount val="1"/>
                <c:pt idx="0">
                  <c:v>Net</c:v>
                </c:pt>
              </c:strCache>
            </c:strRef>
          </c:tx>
          <c:spPr>
            <a:ln w="47520">
              <a:solidFill>
                <a:srgbClr val="D4AF3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Dashboard!$F$33:$F$44</c:f>
              <c:numCache>
                <c:formatCode>"KSh "#,##0</c:formatCode>
                <c:ptCount val="12"/>
                <c:pt idx="0">
                  <c:v>170000</c:v>
                </c:pt>
                <c:pt idx="1">
                  <c:v>7000</c:v>
                </c:pt>
                <c:pt idx="2">
                  <c:v>7000</c:v>
                </c:pt>
                <c:pt idx="3">
                  <c:v>0</c:v>
                </c:pt>
                <c:pt idx="4">
                  <c:v>14000</c:v>
                </c:pt>
                <c:pt idx="5">
                  <c:v>14000</c:v>
                </c:pt>
                <c:pt idx="6">
                  <c:v>26000</c:v>
                </c:pt>
                <c:pt idx="7">
                  <c:v>7000</c:v>
                </c:pt>
                <c:pt idx="8">
                  <c:v>0</c:v>
                </c:pt>
                <c:pt idx="9">
                  <c:v>19000</c:v>
                </c:pt>
                <c:pt idx="10">
                  <c:v>14000</c:v>
                </c:pt>
                <c:pt idx="11">
                  <c:v>35000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FC-4AE9-8944-5D3335C5F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957661"/>
        <c:axId val="91709377"/>
      </c:lineChart>
      <c:catAx>
        <c:axId val="739576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09377"/>
        <c:crosses val="autoZero"/>
        <c:auto val="1"/>
        <c:lblAlgn val="ctr"/>
        <c:lblOffset val="100"/>
        <c:noMultiLvlLbl val="0"/>
      </c:catAx>
      <c:valAx>
        <c:axId val="91709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KSh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KSh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57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9</xdr:col>
      <xdr:colOff>588960</xdr:colOff>
      <xdr:row>60</xdr:row>
      <xdr:rowOff>92160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46</xdr:row>
      <xdr:rowOff>0</xdr:rowOff>
    </xdr:from>
    <xdr:to>
      <xdr:col>18</xdr:col>
      <xdr:colOff>785160</xdr:colOff>
      <xdr:row>60</xdr:row>
      <xdr:rowOff>92160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V80"/>
  <sheetViews>
    <sheetView showGridLines="0" topLeftCell="C1" zoomScaleNormal="100" workbookViewId="0">
      <selection activeCell="K19" sqref="K19"/>
    </sheetView>
  </sheetViews>
  <sheetFormatPr defaultColWidth="8.6640625" defaultRowHeight="14.4" x14ac:dyDescent="0.3"/>
  <cols>
    <col min="1" max="1" width="2" customWidth="1"/>
    <col min="2" max="21" width="13" customWidth="1"/>
    <col min="22" max="22" width="2" customWidth="1"/>
  </cols>
  <sheetData>
    <row r="1" spans="1:22" ht="21.7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49.5" customHeight="1" x14ac:dyDescent="0.3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</row>
    <row r="3" spans="1:22" ht="21.7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ht="27.75" customHeight="1" x14ac:dyDescent="0.3">
      <c r="A4" s="15"/>
      <c r="B4" s="13" t="s">
        <v>1</v>
      </c>
      <c r="C4" s="13"/>
      <c r="D4" s="13"/>
      <c r="E4" s="13"/>
      <c r="F4" s="12" t="s">
        <v>2</v>
      </c>
      <c r="G4" s="12"/>
      <c r="H4" s="12"/>
      <c r="I4" s="12"/>
      <c r="J4" s="11" t="s">
        <v>3</v>
      </c>
      <c r="K4" s="11"/>
      <c r="L4" s="11"/>
      <c r="M4" s="11"/>
      <c r="N4" s="10" t="s">
        <v>4</v>
      </c>
      <c r="O4" s="10"/>
      <c r="P4" s="10"/>
      <c r="Q4" s="10"/>
      <c r="R4" s="15"/>
      <c r="S4" s="15"/>
      <c r="T4" s="15"/>
      <c r="U4" s="15"/>
      <c r="V4" s="15"/>
    </row>
    <row r="5" spans="1:22" ht="21.7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54" customHeight="1" x14ac:dyDescent="0.3">
      <c r="A6" s="15"/>
      <c r="B6" s="9">
        <f>COUNTIF('Rent Tracker'!B3:B32,"&lt;&gt;VACANT")</f>
        <v>20</v>
      </c>
      <c r="C6" s="9"/>
      <c r="D6" s="9"/>
      <c r="E6" s="9"/>
      <c r="F6" s="8">
        <f>COUNTIF('Rent Tracker'!B3:B32,"VACANT")</f>
        <v>10</v>
      </c>
      <c r="G6" s="8"/>
      <c r="H6" s="8"/>
      <c r="I6" s="8"/>
      <c r="J6" s="7">
        <f>IFERROR(COUNTIF('Rent Tracker'!B3:B32,"&lt;&gt;VACANT")/COUNTIF('Rent Tracker'!A3:A32,"&lt;&gt;"),0)</f>
        <v>1.4285714285714286</v>
      </c>
      <c r="K6" s="7"/>
      <c r="L6" s="7"/>
      <c r="M6" s="7"/>
      <c r="N6" s="6">
        <f>SUM('Rent Tracker'!F3:F32)</f>
        <v>31000</v>
      </c>
      <c r="O6" s="6"/>
      <c r="P6" s="6"/>
      <c r="Q6" s="6"/>
      <c r="R6" s="15"/>
      <c r="S6" s="15"/>
      <c r="T6" s="15"/>
      <c r="U6" s="15"/>
      <c r="V6" s="15"/>
    </row>
    <row r="7" spans="1:22" ht="21.7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7.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27.75" customHeight="1" x14ac:dyDescent="0.3">
      <c r="A9" s="15"/>
      <c r="B9" s="13" t="s">
        <v>5</v>
      </c>
      <c r="C9" s="13"/>
      <c r="D9" s="13"/>
      <c r="E9" s="13"/>
      <c r="F9" s="12" t="s">
        <v>6</v>
      </c>
      <c r="G9" s="12"/>
      <c r="H9" s="12"/>
      <c r="I9" s="12"/>
      <c r="J9" s="5" t="s">
        <v>7</v>
      </c>
      <c r="K9" s="5"/>
      <c r="L9" s="5"/>
      <c r="M9" s="5"/>
      <c r="N9" s="10" t="s">
        <v>8</v>
      </c>
      <c r="O9" s="10"/>
      <c r="P9" s="10"/>
      <c r="Q9" s="10"/>
      <c r="R9" s="15"/>
      <c r="S9" s="15"/>
      <c r="T9" s="15"/>
      <c r="U9" s="15"/>
      <c r="V9" s="15"/>
    </row>
    <row r="10" spans="1:22" ht="21.7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54" customHeight="1" x14ac:dyDescent="0.3">
      <c r="A11" s="15"/>
      <c r="B11" s="4">
        <f>'Rent Tracker'!N34</f>
        <v>7000</v>
      </c>
      <c r="C11" s="4"/>
      <c r="D11" s="4"/>
      <c r="E11" s="4"/>
      <c r="F11" s="3">
        <f>SUMIF(Arrears!H3:H32,"&gt;0",Arrears!H3:H32)</f>
        <v>51000</v>
      </c>
      <c r="G11" s="3"/>
      <c r="H11" s="3"/>
      <c r="I11" s="3"/>
      <c r="J11" s="2">
        <f>Expenses!P23</f>
        <v>9000</v>
      </c>
      <c r="K11" s="2"/>
      <c r="L11" s="2"/>
      <c r="M11" s="2"/>
      <c r="N11" s="6">
        <f>'Rent Tracker'!AI34-Expenses!P23</f>
        <v>313000</v>
      </c>
      <c r="O11" s="6"/>
      <c r="P11" s="6"/>
      <c r="Q11" s="6"/>
      <c r="R11" s="15"/>
      <c r="S11" s="15"/>
      <c r="T11" s="15"/>
      <c r="U11" s="15"/>
      <c r="V11" s="15"/>
    </row>
    <row r="12" spans="1:22" ht="21.7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7.5" customHeight="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25.5" customHeight="1" x14ac:dyDescent="0.3">
      <c r="A14" s="15"/>
      <c r="B14" s="1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1.75" customHeight="1" x14ac:dyDescent="0.3">
      <c r="A15" s="15"/>
      <c r="B15" s="16" t="s">
        <v>10</v>
      </c>
      <c r="C15" s="16" t="s">
        <v>11</v>
      </c>
      <c r="D15" s="16" t="s">
        <v>12</v>
      </c>
      <c r="E15" s="16" t="s">
        <v>13</v>
      </c>
      <c r="F15" s="16" t="s">
        <v>14</v>
      </c>
      <c r="G15" s="16" t="s">
        <v>15</v>
      </c>
      <c r="H15" s="16" t="s">
        <v>16</v>
      </c>
      <c r="I15" s="16" t="s">
        <v>17</v>
      </c>
      <c r="J15" s="16" t="s">
        <v>18</v>
      </c>
      <c r="K15" s="16" t="s">
        <v>19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1.75" customHeight="1" x14ac:dyDescent="0.3">
      <c r="A16" s="15"/>
      <c r="B16" s="17" t="str">
        <f>Arrears!A3</f>
        <v>House 1</v>
      </c>
      <c r="C16" s="18" t="str">
        <f>Arrears!B3</f>
        <v>IAN</v>
      </c>
      <c r="D16" s="19">
        <f>Arrears!C3</f>
        <v>7000</v>
      </c>
      <c r="E16" s="19">
        <f>Arrears!D3</f>
        <v>0</v>
      </c>
      <c r="F16" s="19">
        <f>Arrears!E3</f>
        <v>0</v>
      </c>
      <c r="G16" s="19">
        <f>Arrears!F3</f>
        <v>0</v>
      </c>
      <c r="H16" s="20">
        <f>Arrears!G3</f>
        <v>84000</v>
      </c>
      <c r="I16" s="21">
        <f>Arrears!H3</f>
        <v>0</v>
      </c>
      <c r="J16" s="22">
        <f>Arrears!I3</f>
        <v>0</v>
      </c>
      <c r="K16" s="23" t="str">
        <f>Arrears!L3</f>
        <v>Legal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1.75" customHeight="1" x14ac:dyDescent="0.3">
      <c r="A17" s="15"/>
      <c r="B17" s="24" t="str">
        <f>Arrears!A4</f>
        <v>House 2</v>
      </c>
      <c r="C17" s="25" t="str">
        <f>Arrears!B4</f>
        <v>JAMES</v>
      </c>
      <c r="D17" s="26">
        <f>Arrears!C4</f>
        <v>8000</v>
      </c>
      <c r="E17" s="26">
        <f>Arrears!D4</f>
        <v>-42000</v>
      </c>
      <c r="F17" s="26">
        <f>Arrears!E4</f>
        <v>-34000</v>
      </c>
      <c r="G17" s="26">
        <f>Arrears!F4</f>
        <v>-26000</v>
      </c>
      <c r="H17" s="27">
        <f>Arrears!G4</f>
        <v>96000</v>
      </c>
      <c r="I17" s="28">
        <f>Arrears!H4</f>
        <v>0</v>
      </c>
      <c r="J17" s="29">
        <f>Arrears!I4</f>
        <v>0</v>
      </c>
      <c r="K17" s="30" t="str">
        <f>Arrears!L4</f>
        <v>Legal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1.75" customHeight="1" x14ac:dyDescent="0.3">
      <c r="A18" s="15"/>
      <c r="B18" s="17" t="str">
        <f>Arrears!A5</f>
        <v>House 3</v>
      </c>
      <c r="C18" s="18" t="str">
        <f>Arrears!B5</f>
        <v>KELVIN</v>
      </c>
      <c r="D18" s="19">
        <f>Arrears!C5</f>
        <v>8000</v>
      </c>
      <c r="E18" s="19">
        <f>Arrears!D5</f>
        <v>-24000</v>
      </c>
      <c r="F18" s="19">
        <f>Arrears!E5</f>
        <v>-16000</v>
      </c>
      <c r="G18" s="19">
        <f>Arrears!F5</f>
        <v>-8000</v>
      </c>
      <c r="H18" s="20">
        <f>Arrears!G5</f>
        <v>45000</v>
      </c>
      <c r="I18" s="21">
        <f>Arrears!H5</f>
        <v>51000</v>
      </c>
      <c r="J18" s="22">
        <f>Arrears!I5</f>
        <v>7</v>
      </c>
      <c r="K18" s="23" t="str">
        <f>Arrears!L5</f>
        <v>Notice Issued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1.75" customHeight="1" x14ac:dyDescent="0.3">
      <c r="A19" s="15"/>
      <c r="B19" s="24" t="str">
        <f>Arrears!A6</f>
        <v>House 4</v>
      </c>
      <c r="C19" s="25" t="str">
        <f>Arrears!B6</f>
        <v>JOHN</v>
      </c>
      <c r="D19" s="26">
        <f>Arrears!C6</f>
        <v>8000</v>
      </c>
      <c r="E19" s="26">
        <f>Arrears!D6</f>
        <v>-82000</v>
      </c>
      <c r="F19" s="26">
        <f>Arrears!E6</f>
        <v>-74000</v>
      </c>
      <c r="G19" s="26">
        <f>Arrears!F6</f>
        <v>-66000</v>
      </c>
      <c r="H19" s="27">
        <f>Arrears!G6</f>
        <v>97000</v>
      </c>
      <c r="I19" s="28">
        <f>Arrears!H6</f>
        <v>-1000</v>
      </c>
      <c r="J19" s="29">
        <f>Arrears!I6</f>
        <v>0</v>
      </c>
      <c r="K19" s="30" t="str">
        <f>Arrears!L6</f>
        <v>Pending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1.75" customHeight="1" x14ac:dyDescent="0.3">
      <c r="A20" s="15"/>
      <c r="B20" s="17" t="str">
        <f>Arrears!A7</f>
        <v>House 5</v>
      </c>
      <c r="C20" s="18" t="str">
        <f>Arrears!B7</f>
        <v>VACANT</v>
      </c>
      <c r="D20" s="19">
        <f>Arrears!C7</f>
        <v>0</v>
      </c>
      <c r="E20" s="19" t="str">
        <f>Arrears!D7</f>
        <v/>
      </c>
      <c r="F20" s="19" t="str">
        <f>Arrears!E7</f>
        <v/>
      </c>
      <c r="G20" s="19" t="str">
        <f>Arrears!F7</f>
        <v/>
      </c>
      <c r="H20" s="20" t="str">
        <f>Arrears!G7</f>
        <v/>
      </c>
      <c r="I20" s="21" t="str">
        <f>Arrears!H7</f>
        <v/>
      </c>
      <c r="J20" s="22" t="str">
        <f>Arrears!I7</f>
        <v/>
      </c>
      <c r="K20" s="23">
        <f>Arrears!L7</f>
        <v>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1.75" customHeight="1" x14ac:dyDescent="0.3">
      <c r="A21" s="15"/>
      <c r="B21" s="24" t="str">
        <f>Arrears!A8</f>
        <v>House 6</v>
      </c>
      <c r="C21" s="25" t="str">
        <f>Arrears!B8</f>
        <v>VACANT</v>
      </c>
      <c r="D21" s="26">
        <f>Arrears!C8</f>
        <v>0</v>
      </c>
      <c r="E21" s="26" t="str">
        <f>Arrears!D8</f>
        <v/>
      </c>
      <c r="F21" s="26" t="str">
        <f>Arrears!E8</f>
        <v/>
      </c>
      <c r="G21" s="26" t="str">
        <f>Arrears!F8</f>
        <v/>
      </c>
      <c r="H21" s="27" t="str">
        <f>Arrears!G8</f>
        <v/>
      </c>
      <c r="I21" s="28" t="str">
        <f>Arrears!H8</f>
        <v/>
      </c>
      <c r="J21" s="29" t="str">
        <f>Arrears!I8</f>
        <v/>
      </c>
      <c r="K21" s="30">
        <f>Arrears!L8</f>
        <v>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21.75" customHeight="1" x14ac:dyDescent="0.3">
      <c r="A22" s="15"/>
      <c r="B22" s="17" t="str">
        <f>Arrears!A9</f>
        <v>House 7</v>
      </c>
      <c r="C22" s="18" t="str">
        <f>Arrears!B9</f>
        <v>VACANT</v>
      </c>
      <c r="D22" s="19">
        <f>Arrears!C9</f>
        <v>0</v>
      </c>
      <c r="E22" s="19" t="str">
        <f>Arrears!D9</f>
        <v/>
      </c>
      <c r="F22" s="19" t="str">
        <f>Arrears!E9</f>
        <v/>
      </c>
      <c r="G22" s="19" t="str">
        <f>Arrears!F9</f>
        <v/>
      </c>
      <c r="H22" s="20" t="str">
        <f>Arrears!G9</f>
        <v/>
      </c>
      <c r="I22" s="21" t="str">
        <f>Arrears!H9</f>
        <v/>
      </c>
      <c r="J22" s="22" t="str">
        <f>Arrears!I9</f>
        <v/>
      </c>
      <c r="K22" s="23">
        <f>Arrears!L9</f>
        <v>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21.75" customHeight="1" x14ac:dyDescent="0.3">
      <c r="A23" s="15"/>
      <c r="B23" s="24" t="str">
        <f>Arrears!A10</f>
        <v>House 8</v>
      </c>
      <c r="C23" s="25" t="str">
        <f>Arrears!B10</f>
        <v>VACANT</v>
      </c>
      <c r="D23" s="26">
        <f>Arrears!C10</f>
        <v>0</v>
      </c>
      <c r="E23" s="26" t="str">
        <f>Arrears!D10</f>
        <v/>
      </c>
      <c r="F23" s="26" t="str">
        <f>Arrears!E10</f>
        <v/>
      </c>
      <c r="G23" s="26" t="str">
        <f>Arrears!F10</f>
        <v/>
      </c>
      <c r="H23" s="27" t="str">
        <f>Arrears!G10</f>
        <v/>
      </c>
      <c r="I23" s="28" t="str">
        <f>Arrears!H10</f>
        <v/>
      </c>
      <c r="J23" s="29" t="str">
        <f>Arrears!I10</f>
        <v/>
      </c>
      <c r="K23" s="30">
        <f>Arrears!L10</f>
        <v>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1.75" customHeight="1" x14ac:dyDescent="0.3">
      <c r="A24" s="15"/>
      <c r="B24" s="17" t="str">
        <f>Arrears!A11</f>
        <v>House 9</v>
      </c>
      <c r="C24" s="18" t="str">
        <f>Arrears!B11</f>
        <v>VACANT</v>
      </c>
      <c r="D24" s="19">
        <f>Arrears!C11</f>
        <v>0</v>
      </c>
      <c r="E24" s="19">
        <f>Arrears!D11</f>
        <v>0</v>
      </c>
      <c r="F24" s="19">
        <f>Arrears!E11</f>
        <v>0</v>
      </c>
      <c r="G24" s="19">
        <f>Arrears!F11</f>
        <v>0</v>
      </c>
      <c r="H24" s="20">
        <f>Arrears!G11</f>
        <v>0</v>
      </c>
      <c r="I24" s="21">
        <f>Arrears!H11</f>
        <v>0</v>
      </c>
      <c r="J24" s="22" t="str">
        <f>Arrears!I11</f>
        <v/>
      </c>
      <c r="K24" s="23">
        <f>Arrears!L11</f>
        <v>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1.75" customHeight="1" x14ac:dyDescent="0.3">
      <c r="A25" s="15"/>
      <c r="B25" s="24" t="str">
        <f>Arrears!A12</f>
        <v>House 10</v>
      </c>
      <c r="C25" s="25" t="str">
        <f>Arrears!B12</f>
        <v>VACANT</v>
      </c>
      <c r="D25" s="26">
        <f>Arrears!C12</f>
        <v>0</v>
      </c>
      <c r="E25" s="26" t="str">
        <f>Arrears!D12</f>
        <v/>
      </c>
      <c r="F25" s="26" t="str">
        <f>Arrears!E12</f>
        <v/>
      </c>
      <c r="G25" s="26" t="str">
        <f>Arrears!F12</f>
        <v/>
      </c>
      <c r="H25" s="27" t="str">
        <f>Arrears!G12</f>
        <v/>
      </c>
      <c r="I25" s="28" t="str">
        <f>Arrears!H12</f>
        <v/>
      </c>
      <c r="J25" s="29" t="str">
        <f>Arrears!I12</f>
        <v/>
      </c>
      <c r="K25" s="30">
        <f>Arrears!L12</f>
        <v>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1.7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1.7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27.75" customHeight="1" x14ac:dyDescent="0.3">
      <c r="A28" s="15"/>
      <c r="B28" s="124" t="s">
        <v>20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5"/>
    </row>
    <row r="29" spans="1:22" ht="21.75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21.7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21.75" customHeight="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ht="13.5" customHeight="1" x14ac:dyDescent="0.3">
      <c r="A32" s="15"/>
      <c r="B32" s="15" t="s">
        <v>21</v>
      </c>
      <c r="C32" s="15" t="s">
        <v>22</v>
      </c>
      <c r="D32" s="15" t="s">
        <v>23</v>
      </c>
      <c r="E32" s="15" t="s">
        <v>24</v>
      </c>
      <c r="F32" s="15" t="s">
        <v>25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13.5" customHeight="1" x14ac:dyDescent="0.3">
      <c r="A33" s="15"/>
      <c r="B33" s="31" t="s">
        <v>26</v>
      </c>
      <c r="C33" s="32">
        <f>'Rent Tracker'!J34</f>
        <v>179000</v>
      </c>
      <c r="D33" s="32">
        <f>SUM('Rent Tracker'!F3:F32)</f>
        <v>31000</v>
      </c>
      <c r="E33" s="32">
        <f>Expenses!D23</f>
        <v>9000</v>
      </c>
      <c r="F33" s="32">
        <f t="shared" ref="F33:F44" si="0">C33-E33</f>
        <v>170000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ht="13.5" customHeight="1" x14ac:dyDescent="0.3">
      <c r="A34" s="15"/>
      <c r="B34" s="31" t="s">
        <v>27</v>
      </c>
      <c r="C34" s="32">
        <f>'Rent Tracker'!L34</f>
        <v>7000</v>
      </c>
      <c r="D34" s="32">
        <f>SUM('Rent Tracker'!F3:F32)</f>
        <v>31000</v>
      </c>
      <c r="E34" s="32">
        <f>Expenses!E23</f>
        <v>0</v>
      </c>
      <c r="F34" s="32">
        <f t="shared" si="0"/>
        <v>7000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ht="13.5" customHeight="1" x14ac:dyDescent="0.3">
      <c r="A35" s="15"/>
      <c r="B35" s="31" t="s">
        <v>28</v>
      </c>
      <c r="C35" s="32">
        <f>'Rent Tracker'!N34</f>
        <v>7000</v>
      </c>
      <c r="D35" s="32">
        <f>SUM('Rent Tracker'!F3:F32)</f>
        <v>31000</v>
      </c>
      <c r="E35" s="32">
        <f>Expenses!F23</f>
        <v>0</v>
      </c>
      <c r="F35" s="32">
        <f t="shared" si="0"/>
        <v>7000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ht="13.5" customHeight="1" x14ac:dyDescent="0.3">
      <c r="A36" s="15"/>
      <c r="B36" s="31" t="s">
        <v>29</v>
      </c>
      <c r="C36" s="32">
        <f>'Rent Tracker'!P34</f>
        <v>0</v>
      </c>
      <c r="D36" s="32">
        <f>SUM('Rent Tracker'!F3:F32)</f>
        <v>31000</v>
      </c>
      <c r="E36" s="32">
        <f>Expenses!G23</f>
        <v>0</v>
      </c>
      <c r="F36" s="32">
        <f t="shared" si="0"/>
        <v>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ht="13.5" customHeight="1" x14ac:dyDescent="0.3">
      <c r="A37" s="15"/>
      <c r="B37" s="31" t="s">
        <v>30</v>
      </c>
      <c r="C37" s="32">
        <f>'Rent Tracker'!R34</f>
        <v>14000</v>
      </c>
      <c r="D37" s="32">
        <f>SUM('Rent Tracker'!F3:F32)</f>
        <v>31000</v>
      </c>
      <c r="E37" s="32">
        <f>Expenses!H23</f>
        <v>0</v>
      </c>
      <c r="F37" s="32">
        <f t="shared" si="0"/>
        <v>14000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ht="13.5" customHeight="1" x14ac:dyDescent="0.3">
      <c r="A38" s="15"/>
      <c r="B38" s="31" t="s">
        <v>31</v>
      </c>
      <c r="C38" s="32">
        <f>'Rent Tracker'!T34</f>
        <v>14000</v>
      </c>
      <c r="D38" s="32">
        <f>SUM('Rent Tracker'!F3:F32)</f>
        <v>31000</v>
      </c>
      <c r="E38" s="32">
        <f>Expenses!I23</f>
        <v>0</v>
      </c>
      <c r="F38" s="32">
        <f t="shared" si="0"/>
        <v>14000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13.5" customHeight="1" x14ac:dyDescent="0.3">
      <c r="A39" s="15"/>
      <c r="B39" s="31" t="s">
        <v>32</v>
      </c>
      <c r="C39" s="32">
        <f>'Rent Tracker'!V34</f>
        <v>26000</v>
      </c>
      <c r="D39" s="32">
        <f>SUM('Rent Tracker'!F3:F32)</f>
        <v>31000</v>
      </c>
      <c r="E39" s="32">
        <f>Expenses!J23</f>
        <v>0</v>
      </c>
      <c r="F39" s="32">
        <f t="shared" si="0"/>
        <v>26000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13.5" customHeight="1" x14ac:dyDescent="0.3">
      <c r="A40" s="15"/>
      <c r="B40" s="31" t="s">
        <v>33</v>
      </c>
      <c r="C40" s="32">
        <f>'Rent Tracker'!X34</f>
        <v>7000</v>
      </c>
      <c r="D40" s="32">
        <f>SUM('Rent Tracker'!F3:F32)</f>
        <v>31000</v>
      </c>
      <c r="E40" s="32">
        <f>Expenses!K23</f>
        <v>0</v>
      </c>
      <c r="F40" s="32">
        <f t="shared" si="0"/>
        <v>7000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ht="13.5" customHeight="1" x14ac:dyDescent="0.3">
      <c r="A41" s="15"/>
      <c r="B41" s="31" t="s">
        <v>34</v>
      </c>
      <c r="C41" s="32">
        <f>'Rent Tracker'!Z34</f>
        <v>0</v>
      </c>
      <c r="D41" s="32">
        <f>SUM('Rent Tracker'!F3:F32)</f>
        <v>31000</v>
      </c>
      <c r="E41" s="32">
        <f>Expenses!L23</f>
        <v>0</v>
      </c>
      <c r="F41" s="32">
        <f t="shared" si="0"/>
        <v>0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13.5" customHeight="1" x14ac:dyDescent="0.3">
      <c r="A42" s="15"/>
      <c r="B42" s="31" t="s">
        <v>35</v>
      </c>
      <c r="C42" s="32">
        <f>'Rent Tracker'!AB34</f>
        <v>19000</v>
      </c>
      <c r="D42" s="32">
        <f>SUM('Rent Tracker'!F3:F32)</f>
        <v>31000</v>
      </c>
      <c r="E42" s="32">
        <f>Expenses!M23</f>
        <v>0</v>
      </c>
      <c r="F42" s="32">
        <f t="shared" si="0"/>
        <v>19000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ht="13.5" customHeight="1" x14ac:dyDescent="0.3">
      <c r="A43" s="15"/>
      <c r="B43" s="31" t="s">
        <v>36</v>
      </c>
      <c r="C43" s="32">
        <f>'Rent Tracker'!AD34</f>
        <v>14000</v>
      </c>
      <c r="D43" s="32">
        <f>SUM('Rent Tracker'!F3:F32)</f>
        <v>31000</v>
      </c>
      <c r="E43" s="32">
        <f>Expenses!N23</f>
        <v>0</v>
      </c>
      <c r="F43" s="32">
        <f t="shared" si="0"/>
        <v>14000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ht="13.5" customHeight="1" x14ac:dyDescent="0.3">
      <c r="A44" s="15"/>
      <c r="B44" s="31" t="s">
        <v>37</v>
      </c>
      <c r="C44" s="32">
        <f>'Rent Tracker'!AF34</f>
        <v>35000</v>
      </c>
      <c r="D44" s="32">
        <f>SUM('Rent Tracker'!F3:F32)</f>
        <v>31000</v>
      </c>
      <c r="E44" s="32">
        <f>Expenses!O23</f>
        <v>0</v>
      </c>
      <c r="F44" s="32">
        <f t="shared" si="0"/>
        <v>35000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ht="21.7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ht="21.75" customHeight="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ht="21.75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ht="21.75" customHeight="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ht="21.75" customHeight="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ht="21.75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ht="21.75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ht="21.75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21.75" customHeight="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ht="21.7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ht="21.7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ht="21.7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ht="21.7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ht="21.75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21.75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ht="21.75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21.7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ht="21.7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ht="21.75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ht="21.7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21.7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ht="21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ht="21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ht="21.75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 ht="21.7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 ht="21.7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1:22" ht="21.7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 ht="21.7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 ht="21.7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1:22" ht="21.7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ht="21.75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 ht="21.75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1:22" ht="21.75" customHeight="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 ht="21.75" customHeigh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1:22" ht="21.75" customHeight="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1:22" ht="15" customHeigh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</sheetData>
  <mergeCells count="19">
    <mergeCell ref="B28:U28"/>
    <mergeCell ref="B11:E11"/>
    <mergeCell ref="F11:I11"/>
    <mergeCell ref="J11:M11"/>
    <mergeCell ref="N11:Q11"/>
    <mergeCell ref="B14:K14"/>
    <mergeCell ref="B6:E6"/>
    <mergeCell ref="F6:I6"/>
    <mergeCell ref="J6:M6"/>
    <mergeCell ref="N6:Q6"/>
    <mergeCell ref="B9:E9"/>
    <mergeCell ref="F9:I9"/>
    <mergeCell ref="J9:M9"/>
    <mergeCell ref="N9:Q9"/>
    <mergeCell ref="B2:U2"/>
    <mergeCell ref="B4:E4"/>
    <mergeCell ref="F4:I4"/>
    <mergeCell ref="J4:M4"/>
    <mergeCell ref="N4:Q4"/>
  </mergeCells>
  <conditionalFormatting sqref="I16:I25">
    <cfRule type="expression" dxfId="62" priority="2">
      <formula>I16&gt;0</formula>
    </cfRule>
    <cfRule type="expression" dxfId="61" priority="3">
      <formula>AND(I16&lt;=0,I16&lt;&gt;"")</formula>
    </cfRule>
  </conditionalFormatting>
  <conditionalFormatting sqref="K16:K25">
    <cfRule type="expression" dxfId="60" priority="4">
      <formula>K16="Unpaid"</formula>
    </cfRule>
    <cfRule type="expression" dxfId="59" priority="5">
      <formula>K16="Paid Up"</formula>
    </cfRule>
    <cfRule type="expression" dxfId="58" priority="6">
      <formula>K16="Partial"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F37"/>
  </sheetPr>
  <dimension ref="A1:BR45"/>
  <sheetViews>
    <sheetView showGridLines="0" tabSelected="1"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G6" sqref="AG6"/>
    </sheetView>
  </sheetViews>
  <sheetFormatPr defaultColWidth="8.6640625" defaultRowHeight="14.4" x14ac:dyDescent="0.3"/>
  <cols>
    <col min="1" max="1" width="11" customWidth="1"/>
    <col min="2" max="2" width="22" customWidth="1"/>
    <col min="3" max="3" width="15" customWidth="1"/>
    <col min="4" max="4" width="14" customWidth="1"/>
    <col min="5" max="5" width="12" customWidth="1"/>
    <col min="6" max="6" width="16" customWidth="1"/>
    <col min="7" max="9" width="14" customWidth="1"/>
    <col min="10" max="10" width="12" customWidth="1"/>
    <col min="11" max="11" width="13" customWidth="1"/>
    <col min="12" max="12" width="12" customWidth="1"/>
    <col min="13" max="13" width="13" customWidth="1"/>
    <col min="14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  <col min="20" max="20" width="12" customWidth="1"/>
    <col min="21" max="21" width="13" customWidth="1"/>
    <col min="22" max="22" width="12" customWidth="1"/>
    <col min="23" max="23" width="13" customWidth="1"/>
    <col min="24" max="24" width="12" customWidth="1"/>
    <col min="25" max="25" width="13" customWidth="1"/>
    <col min="26" max="26" width="12" customWidth="1"/>
    <col min="27" max="27" width="13" customWidth="1"/>
    <col min="28" max="28" width="12" customWidth="1"/>
    <col min="29" max="29" width="13" customWidth="1"/>
    <col min="30" max="30" width="12" customWidth="1"/>
    <col min="31" max="31" width="13" customWidth="1"/>
    <col min="32" max="32" width="12" customWidth="1"/>
    <col min="33" max="33" width="13" customWidth="1"/>
    <col min="35" max="36" width="15" customWidth="1"/>
    <col min="37" max="37" width="16" customWidth="1"/>
    <col min="38" max="38" width="14" customWidth="1"/>
    <col min="39" max="39" width="30" customWidth="1"/>
  </cols>
  <sheetData>
    <row r="1" spans="1:70" ht="36" customHeight="1" x14ac:dyDescent="0.3">
      <c r="A1" s="125" t="s">
        <v>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5"/>
      <c r="BP1" s="15"/>
      <c r="BQ1" s="15"/>
      <c r="BR1" s="15"/>
    </row>
    <row r="2" spans="1:70" ht="30" customHeight="1" x14ac:dyDescent="0.3">
      <c r="A2" s="33" t="s">
        <v>39</v>
      </c>
      <c r="B2" s="34" t="s">
        <v>40</v>
      </c>
      <c r="C2" s="34" t="s">
        <v>41</v>
      </c>
      <c r="D2" s="35" t="s">
        <v>42</v>
      </c>
      <c r="E2" s="35" t="s">
        <v>43</v>
      </c>
      <c r="F2" s="36" t="s">
        <v>44</v>
      </c>
      <c r="G2" s="36" t="s">
        <v>45</v>
      </c>
      <c r="H2" s="37" t="s">
        <v>46</v>
      </c>
      <c r="I2" s="38" t="s">
        <v>47</v>
      </c>
      <c r="J2" s="39" t="s">
        <v>48</v>
      </c>
      <c r="K2" s="35" t="s">
        <v>13</v>
      </c>
      <c r="L2" s="39" t="s">
        <v>49</v>
      </c>
      <c r="M2" s="35" t="s">
        <v>14</v>
      </c>
      <c r="N2" s="39" t="s">
        <v>50</v>
      </c>
      <c r="O2" s="35" t="s">
        <v>15</v>
      </c>
      <c r="P2" s="39" t="s">
        <v>51</v>
      </c>
      <c r="Q2" s="35" t="s">
        <v>52</v>
      </c>
      <c r="R2" s="39" t="s">
        <v>53</v>
      </c>
      <c r="S2" s="35" t="s">
        <v>54</v>
      </c>
      <c r="T2" s="39" t="s">
        <v>55</v>
      </c>
      <c r="U2" s="35" t="s">
        <v>56</v>
      </c>
      <c r="V2" s="39" t="s">
        <v>57</v>
      </c>
      <c r="W2" s="35" t="s">
        <v>58</v>
      </c>
      <c r="X2" s="39" t="s">
        <v>59</v>
      </c>
      <c r="Y2" s="35" t="s">
        <v>60</v>
      </c>
      <c r="Z2" s="39" t="s">
        <v>61</v>
      </c>
      <c r="AA2" s="35" t="s">
        <v>62</v>
      </c>
      <c r="AB2" s="39" t="s">
        <v>63</v>
      </c>
      <c r="AC2" s="35" t="s">
        <v>64</v>
      </c>
      <c r="AD2" s="39" t="s">
        <v>65</v>
      </c>
      <c r="AE2" s="35" t="s">
        <v>66</v>
      </c>
      <c r="AF2" s="39" t="s">
        <v>67</v>
      </c>
      <c r="AG2" s="35" t="s">
        <v>68</v>
      </c>
      <c r="AH2" s="15"/>
      <c r="AI2" s="40" t="s">
        <v>69</v>
      </c>
      <c r="AJ2" s="41" t="s">
        <v>70</v>
      </c>
      <c r="AK2" s="42" t="s">
        <v>17</v>
      </c>
      <c r="AL2" s="34" t="s">
        <v>19</v>
      </c>
      <c r="AM2" s="43" t="s">
        <v>71</v>
      </c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</row>
    <row r="3" spans="1:70" ht="24" customHeight="1" x14ac:dyDescent="0.3">
      <c r="A3" s="44" t="s">
        <v>72</v>
      </c>
      <c r="B3" s="45" t="s">
        <v>181</v>
      </c>
      <c r="C3" s="46">
        <v>728031241</v>
      </c>
      <c r="D3" s="47">
        <v>444</v>
      </c>
      <c r="E3" s="47" t="s">
        <v>74</v>
      </c>
      <c r="F3" s="48">
        <v>7000</v>
      </c>
      <c r="G3" s="48">
        <v>7000</v>
      </c>
      <c r="H3" s="49"/>
      <c r="I3" s="49"/>
      <c r="J3" s="50">
        <v>7000</v>
      </c>
      <c r="K3" s="51">
        <f t="shared" ref="K3:K10" si="0">IF(F3="","",F3-J3)</f>
        <v>0</v>
      </c>
      <c r="L3" s="50">
        <v>7000</v>
      </c>
      <c r="M3" s="51">
        <f t="shared" ref="M3:M10" si="1">IF(F3="","",IF(K3="",F3-L3,K3+F3-L3))</f>
        <v>0</v>
      </c>
      <c r="N3" s="50">
        <v>7000</v>
      </c>
      <c r="O3" s="51">
        <f t="shared" ref="O3:O10" si="2">IF(F3="","",IF(M3="",F3-N3,M3+F3-N3))</f>
        <v>0</v>
      </c>
      <c r="P3" s="50">
        <v>0</v>
      </c>
      <c r="Q3" s="51">
        <f t="shared" ref="Q3:Q10" si="3">IF(F3="","",IF(O3="",F3-P3,O3+F3-P3))</f>
        <v>7000</v>
      </c>
      <c r="R3" s="50">
        <v>14000</v>
      </c>
      <c r="S3" s="51">
        <f t="shared" ref="S3:S10" si="4">IF(F3="","",IF(Q3="",F3-R3,Q3+F3-R3))</f>
        <v>0</v>
      </c>
      <c r="T3" s="50">
        <v>14000</v>
      </c>
      <c r="U3" s="51">
        <f t="shared" ref="U3:U10" si="5">IF(F3="","",IF(S3="",F3-T3,S3+F3-T3))</f>
        <v>-7000</v>
      </c>
      <c r="V3" s="50">
        <v>0</v>
      </c>
      <c r="W3" s="51">
        <f t="shared" ref="W3:W10" si="6">IF(F3="","",IF(U3="",F3-V3,U3+F3-V3))</f>
        <v>0</v>
      </c>
      <c r="X3" s="50">
        <v>7000</v>
      </c>
      <c r="Y3" s="51">
        <f t="shared" ref="Y3:Y10" si="7">IF(F3="","",IF(W3="",F3-X3,W3+F3-X3))</f>
        <v>0</v>
      </c>
      <c r="Z3" s="50">
        <v>0</v>
      </c>
      <c r="AA3" s="51">
        <f t="shared" ref="AA3:AA10" si="8">IF(F3="","",IF(Y3="",F3-Z3,Y3+F3-Z3))</f>
        <v>7000</v>
      </c>
      <c r="AB3" s="50">
        <v>15000</v>
      </c>
      <c r="AC3" s="51">
        <f t="shared" ref="AC3:AC10" si="9">IF(F3="","",IF(AA3="",F3-AB3,AA3+F3-AB3))</f>
        <v>-1000</v>
      </c>
      <c r="AD3" s="50">
        <v>6000</v>
      </c>
      <c r="AE3" s="51">
        <f t="shared" ref="AE3:AE10" si="10">IF(F3="","",IF(AC3="",F3-AD3,AC3+F3-AD3))</f>
        <v>0</v>
      </c>
      <c r="AF3" s="50">
        <v>7000</v>
      </c>
      <c r="AG3" s="51">
        <f t="shared" ref="AG3:AG10" si="11">IF(F3="","",IF(AE3="",F3-AF3,AE3+F3-AF3))</f>
        <v>0</v>
      </c>
      <c r="AH3" s="15"/>
      <c r="AI3" s="52">
        <f t="shared" ref="AI3:AI10" si="12">IF(F3="","",J3+L3+N3+P3+R3+T3+V3+X3+Z3+AB3+AD3+AF3)</f>
        <v>84000</v>
      </c>
      <c r="AJ3" s="53">
        <f t="shared" ref="AJ3:AJ10" si="13">IF(F3="","",F3*12)</f>
        <v>84000</v>
      </c>
      <c r="AK3" s="51">
        <f t="shared" ref="AK3:AK10" si="14">IF(F3="","",AG3)</f>
        <v>0</v>
      </c>
      <c r="AL3" s="54" t="str">
        <f t="shared" ref="AL3:AL10" si="15">IF(F3="","",IF(AK3&lt;=0,"Paid Up",IF(AK3&lt;F3,"Partial","Unpaid")))</f>
        <v>Paid Up</v>
      </c>
      <c r="AM3" s="5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</row>
    <row r="4" spans="1:70" ht="24" customHeight="1" x14ac:dyDescent="0.3">
      <c r="A4" s="56" t="s">
        <v>75</v>
      </c>
      <c r="B4" s="57" t="s">
        <v>182</v>
      </c>
      <c r="C4" s="58">
        <v>718444018</v>
      </c>
      <c r="D4" s="54">
        <v>333</v>
      </c>
      <c r="E4" s="54" t="s">
        <v>74</v>
      </c>
      <c r="F4" s="59">
        <v>8000</v>
      </c>
      <c r="G4" s="59">
        <v>8000</v>
      </c>
      <c r="H4" s="60"/>
      <c r="I4" s="61"/>
      <c r="J4" s="62">
        <v>50000</v>
      </c>
      <c r="K4" s="51">
        <f t="shared" si="0"/>
        <v>-42000</v>
      </c>
      <c r="L4" s="62">
        <v>0</v>
      </c>
      <c r="M4" s="51">
        <f t="shared" si="1"/>
        <v>-34000</v>
      </c>
      <c r="N4" s="62">
        <v>0</v>
      </c>
      <c r="O4" s="51">
        <f t="shared" si="2"/>
        <v>-26000</v>
      </c>
      <c r="P4" s="62">
        <v>0</v>
      </c>
      <c r="Q4" s="51">
        <f t="shared" si="3"/>
        <v>-18000</v>
      </c>
      <c r="R4" s="62">
        <v>0</v>
      </c>
      <c r="S4" s="51">
        <f t="shared" si="4"/>
        <v>-10000</v>
      </c>
      <c r="T4" s="62">
        <v>0</v>
      </c>
      <c r="U4" s="51">
        <f t="shared" si="5"/>
        <v>-2000</v>
      </c>
      <c r="V4" s="62">
        <v>26000</v>
      </c>
      <c r="W4" s="51">
        <f t="shared" si="6"/>
        <v>-20000</v>
      </c>
      <c r="X4" s="62">
        <v>0</v>
      </c>
      <c r="Y4" s="51">
        <f t="shared" si="7"/>
        <v>-12000</v>
      </c>
      <c r="Z4" s="62">
        <v>0</v>
      </c>
      <c r="AA4" s="51">
        <f t="shared" si="8"/>
        <v>-4000</v>
      </c>
      <c r="AB4" s="62">
        <v>4000</v>
      </c>
      <c r="AC4" s="51">
        <f t="shared" si="9"/>
        <v>0</v>
      </c>
      <c r="AD4" s="62">
        <v>8000</v>
      </c>
      <c r="AE4" s="51">
        <f t="shared" si="10"/>
        <v>0</v>
      </c>
      <c r="AF4" s="62">
        <v>8000</v>
      </c>
      <c r="AG4" s="51">
        <f t="shared" si="11"/>
        <v>0</v>
      </c>
      <c r="AH4" s="15"/>
      <c r="AI4" s="52">
        <f t="shared" si="12"/>
        <v>96000</v>
      </c>
      <c r="AJ4" s="53">
        <f t="shared" si="13"/>
        <v>96000</v>
      </c>
      <c r="AK4" s="51">
        <f t="shared" si="14"/>
        <v>0</v>
      </c>
      <c r="AL4" s="54" t="str">
        <f t="shared" si="15"/>
        <v>Paid Up</v>
      </c>
      <c r="AM4" s="63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</row>
    <row r="5" spans="1:70" ht="24" customHeight="1" x14ac:dyDescent="0.3">
      <c r="A5" s="44" t="s">
        <v>77</v>
      </c>
      <c r="B5" s="45" t="s">
        <v>183</v>
      </c>
      <c r="C5" s="46">
        <v>722616198</v>
      </c>
      <c r="D5" s="47">
        <v>111</v>
      </c>
      <c r="E5" s="47" t="s">
        <v>74</v>
      </c>
      <c r="F5" s="48">
        <v>8000</v>
      </c>
      <c r="G5" s="48">
        <v>8000</v>
      </c>
      <c r="H5" s="49"/>
      <c r="I5" s="49"/>
      <c r="J5" s="50">
        <v>32000</v>
      </c>
      <c r="K5" s="51">
        <f t="shared" si="0"/>
        <v>-24000</v>
      </c>
      <c r="L5" s="50">
        <v>0</v>
      </c>
      <c r="M5" s="51">
        <f t="shared" si="1"/>
        <v>-16000</v>
      </c>
      <c r="N5" s="50">
        <v>0</v>
      </c>
      <c r="O5" s="51">
        <f t="shared" si="2"/>
        <v>-8000</v>
      </c>
      <c r="P5" s="50">
        <v>0</v>
      </c>
      <c r="Q5" s="51">
        <f t="shared" si="3"/>
        <v>0</v>
      </c>
      <c r="R5" s="50">
        <v>0</v>
      </c>
      <c r="S5" s="51">
        <f t="shared" si="4"/>
        <v>8000</v>
      </c>
      <c r="T5" s="50">
        <v>0</v>
      </c>
      <c r="U5" s="51">
        <f t="shared" si="5"/>
        <v>16000</v>
      </c>
      <c r="V5" s="50">
        <v>0</v>
      </c>
      <c r="W5" s="51">
        <f t="shared" si="6"/>
        <v>24000</v>
      </c>
      <c r="X5" s="50">
        <v>0</v>
      </c>
      <c r="Y5" s="51">
        <f t="shared" si="7"/>
        <v>32000</v>
      </c>
      <c r="Z5" s="50">
        <v>0</v>
      </c>
      <c r="AA5" s="51">
        <f t="shared" si="8"/>
        <v>40000</v>
      </c>
      <c r="AB5" s="50">
        <v>0</v>
      </c>
      <c r="AC5" s="51">
        <f t="shared" si="9"/>
        <v>48000</v>
      </c>
      <c r="AD5" s="50">
        <v>0</v>
      </c>
      <c r="AE5" s="51">
        <f t="shared" si="10"/>
        <v>56000</v>
      </c>
      <c r="AF5" s="50">
        <v>13000</v>
      </c>
      <c r="AG5" s="51">
        <f t="shared" si="11"/>
        <v>51000</v>
      </c>
      <c r="AH5" s="15"/>
      <c r="AI5" s="52">
        <f t="shared" si="12"/>
        <v>45000</v>
      </c>
      <c r="AJ5" s="53">
        <f t="shared" si="13"/>
        <v>96000</v>
      </c>
      <c r="AK5" s="51">
        <f t="shared" si="14"/>
        <v>51000</v>
      </c>
      <c r="AL5" s="54" t="str">
        <f t="shared" si="15"/>
        <v>Unpaid</v>
      </c>
      <c r="AM5" s="5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</row>
    <row r="6" spans="1:70" ht="24" customHeight="1" x14ac:dyDescent="0.3">
      <c r="A6" s="56" t="s">
        <v>79</v>
      </c>
      <c r="B6" s="57" t="s">
        <v>184</v>
      </c>
      <c r="C6" s="58">
        <v>741582890</v>
      </c>
      <c r="D6" s="54">
        <v>222</v>
      </c>
      <c r="E6" s="54" t="s">
        <v>74</v>
      </c>
      <c r="F6" s="59">
        <v>8000</v>
      </c>
      <c r="G6" s="59">
        <v>8000</v>
      </c>
      <c r="H6" s="60"/>
      <c r="I6" s="61"/>
      <c r="J6" s="62">
        <v>90000</v>
      </c>
      <c r="K6" s="51">
        <f t="shared" si="0"/>
        <v>-82000</v>
      </c>
      <c r="L6" s="62">
        <v>0</v>
      </c>
      <c r="M6" s="51">
        <f t="shared" si="1"/>
        <v>-74000</v>
      </c>
      <c r="N6" s="62">
        <v>0</v>
      </c>
      <c r="O6" s="51">
        <f t="shared" si="2"/>
        <v>-66000</v>
      </c>
      <c r="P6" s="62">
        <v>0</v>
      </c>
      <c r="Q6" s="51">
        <f t="shared" si="3"/>
        <v>-58000</v>
      </c>
      <c r="R6" s="62">
        <v>0</v>
      </c>
      <c r="S6" s="51">
        <f t="shared" si="4"/>
        <v>-50000</v>
      </c>
      <c r="T6" s="62">
        <v>0</v>
      </c>
      <c r="U6" s="51">
        <f t="shared" si="5"/>
        <v>-42000</v>
      </c>
      <c r="V6" s="62">
        <v>0</v>
      </c>
      <c r="W6" s="51">
        <f t="shared" si="6"/>
        <v>-34000</v>
      </c>
      <c r="X6" s="62">
        <v>0</v>
      </c>
      <c r="Y6" s="51">
        <f t="shared" si="7"/>
        <v>-26000</v>
      </c>
      <c r="Z6" s="62">
        <v>0</v>
      </c>
      <c r="AA6" s="51">
        <f t="shared" si="8"/>
        <v>-18000</v>
      </c>
      <c r="AB6" s="62">
        <v>0</v>
      </c>
      <c r="AC6" s="51">
        <f t="shared" si="9"/>
        <v>-10000</v>
      </c>
      <c r="AD6" s="62">
        <v>0</v>
      </c>
      <c r="AE6" s="51">
        <f t="shared" si="10"/>
        <v>-2000</v>
      </c>
      <c r="AF6" s="62">
        <v>7000</v>
      </c>
      <c r="AG6" s="51">
        <f t="shared" si="11"/>
        <v>-1000</v>
      </c>
      <c r="AH6" s="15"/>
      <c r="AI6" s="52">
        <f t="shared" si="12"/>
        <v>97000</v>
      </c>
      <c r="AJ6" s="53">
        <f t="shared" si="13"/>
        <v>96000</v>
      </c>
      <c r="AK6" s="51">
        <f t="shared" si="14"/>
        <v>-1000</v>
      </c>
      <c r="AL6" s="54" t="str">
        <f t="shared" si="15"/>
        <v>Paid Up</v>
      </c>
      <c r="AM6" s="63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</row>
    <row r="7" spans="1:70" ht="24" customHeight="1" x14ac:dyDescent="0.3">
      <c r="A7" s="44" t="s">
        <v>81</v>
      </c>
      <c r="B7" s="45" t="s">
        <v>91</v>
      </c>
      <c r="C7" s="46"/>
      <c r="D7" s="47"/>
      <c r="E7" s="47" t="s">
        <v>74</v>
      </c>
      <c r="F7" s="48"/>
      <c r="G7" s="48"/>
      <c r="H7" s="64"/>
      <c r="I7" s="65"/>
      <c r="J7" s="50"/>
      <c r="K7" s="51" t="str">
        <f t="shared" si="0"/>
        <v/>
      </c>
      <c r="L7" s="50"/>
      <c r="M7" s="51" t="str">
        <f t="shared" si="1"/>
        <v/>
      </c>
      <c r="N7" s="50"/>
      <c r="O7" s="51" t="str">
        <f t="shared" si="2"/>
        <v/>
      </c>
      <c r="P7" s="50"/>
      <c r="Q7" s="51" t="str">
        <f t="shared" si="3"/>
        <v/>
      </c>
      <c r="R7" s="50"/>
      <c r="S7" s="51" t="str">
        <f t="shared" si="4"/>
        <v/>
      </c>
      <c r="T7" s="50"/>
      <c r="U7" s="51" t="str">
        <f t="shared" si="5"/>
        <v/>
      </c>
      <c r="V7" s="50"/>
      <c r="W7" s="51" t="str">
        <f t="shared" si="6"/>
        <v/>
      </c>
      <c r="X7" s="50"/>
      <c r="Y7" s="51" t="str">
        <f t="shared" si="7"/>
        <v/>
      </c>
      <c r="Z7" s="50"/>
      <c r="AA7" s="51" t="str">
        <f t="shared" si="8"/>
        <v/>
      </c>
      <c r="AB7" s="50"/>
      <c r="AC7" s="51" t="str">
        <f t="shared" si="9"/>
        <v/>
      </c>
      <c r="AD7" s="50"/>
      <c r="AE7" s="51" t="str">
        <f t="shared" si="10"/>
        <v/>
      </c>
      <c r="AF7" s="50"/>
      <c r="AG7" s="51" t="str">
        <f t="shared" si="11"/>
        <v/>
      </c>
      <c r="AH7" s="15"/>
      <c r="AI7" s="52" t="str">
        <f t="shared" si="12"/>
        <v/>
      </c>
      <c r="AJ7" s="53" t="str">
        <f t="shared" si="13"/>
        <v/>
      </c>
      <c r="AK7" s="51" t="str">
        <f t="shared" si="14"/>
        <v/>
      </c>
      <c r="AL7" s="54" t="str">
        <f t="shared" si="15"/>
        <v/>
      </c>
      <c r="AM7" s="5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</row>
    <row r="8" spans="1:70" ht="24" customHeight="1" x14ac:dyDescent="0.3">
      <c r="A8" s="56" t="s">
        <v>83</v>
      </c>
      <c r="B8" s="57" t="s">
        <v>91</v>
      </c>
      <c r="C8" s="58"/>
      <c r="D8" s="54"/>
      <c r="E8" s="54" t="s">
        <v>74</v>
      </c>
      <c r="F8" s="59"/>
      <c r="G8" s="59"/>
      <c r="H8" s="66"/>
      <c r="I8" s="66"/>
      <c r="J8" s="62"/>
      <c r="K8" s="51" t="str">
        <f t="shared" si="0"/>
        <v/>
      </c>
      <c r="L8" s="62"/>
      <c r="M8" s="51" t="str">
        <f t="shared" si="1"/>
        <v/>
      </c>
      <c r="N8" s="62"/>
      <c r="O8" s="51" t="str">
        <f t="shared" si="2"/>
        <v/>
      </c>
      <c r="P8" s="62"/>
      <c r="Q8" s="51" t="str">
        <f t="shared" si="3"/>
        <v/>
      </c>
      <c r="R8" s="62"/>
      <c r="S8" s="51" t="str">
        <f t="shared" si="4"/>
        <v/>
      </c>
      <c r="T8" s="62"/>
      <c r="U8" s="51" t="str">
        <f t="shared" si="5"/>
        <v/>
      </c>
      <c r="V8" s="62"/>
      <c r="W8" s="51" t="str">
        <f t="shared" si="6"/>
        <v/>
      </c>
      <c r="X8" s="62"/>
      <c r="Y8" s="51" t="str">
        <f t="shared" si="7"/>
        <v/>
      </c>
      <c r="Z8" s="62"/>
      <c r="AA8" s="51" t="str">
        <f t="shared" si="8"/>
        <v/>
      </c>
      <c r="AB8" s="62"/>
      <c r="AC8" s="51" t="str">
        <f t="shared" si="9"/>
        <v/>
      </c>
      <c r="AD8" s="62"/>
      <c r="AE8" s="51" t="str">
        <f t="shared" si="10"/>
        <v/>
      </c>
      <c r="AF8" s="62"/>
      <c r="AG8" s="51" t="str">
        <f t="shared" si="11"/>
        <v/>
      </c>
      <c r="AH8" s="15"/>
      <c r="AI8" s="52" t="str">
        <f t="shared" si="12"/>
        <v/>
      </c>
      <c r="AJ8" s="53" t="str">
        <f t="shared" si="13"/>
        <v/>
      </c>
      <c r="AK8" s="51" t="str">
        <f t="shared" si="14"/>
        <v/>
      </c>
      <c r="AL8" s="54" t="str">
        <f t="shared" si="15"/>
        <v/>
      </c>
      <c r="AM8" s="63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</row>
    <row r="9" spans="1:70" ht="24" customHeight="1" x14ac:dyDescent="0.3">
      <c r="A9" s="44" t="s">
        <v>85</v>
      </c>
      <c r="B9" s="45" t="s">
        <v>91</v>
      </c>
      <c r="C9" s="46"/>
      <c r="D9" s="47"/>
      <c r="E9" s="47" t="s">
        <v>87</v>
      </c>
      <c r="F9" s="48"/>
      <c r="G9" s="48"/>
      <c r="H9" s="64"/>
      <c r="I9" s="65"/>
      <c r="J9" s="50"/>
      <c r="K9" s="51" t="str">
        <f t="shared" si="0"/>
        <v/>
      </c>
      <c r="L9" s="50"/>
      <c r="M9" s="51" t="str">
        <f t="shared" si="1"/>
        <v/>
      </c>
      <c r="N9" s="50"/>
      <c r="O9" s="51" t="str">
        <f t="shared" si="2"/>
        <v/>
      </c>
      <c r="P9" s="50"/>
      <c r="Q9" s="51" t="str">
        <f t="shared" si="3"/>
        <v/>
      </c>
      <c r="R9" s="50"/>
      <c r="S9" s="51" t="str">
        <f t="shared" si="4"/>
        <v/>
      </c>
      <c r="T9" s="50"/>
      <c r="U9" s="51" t="str">
        <f t="shared" si="5"/>
        <v/>
      </c>
      <c r="V9" s="50"/>
      <c r="W9" s="51" t="str">
        <f t="shared" si="6"/>
        <v/>
      </c>
      <c r="X9" s="50"/>
      <c r="Y9" s="51" t="str">
        <f t="shared" si="7"/>
        <v/>
      </c>
      <c r="Z9" s="50"/>
      <c r="AA9" s="51" t="str">
        <f t="shared" si="8"/>
        <v/>
      </c>
      <c r="AB9" s="50"/>
      <c r="AC9" s="51" t="str">
        <f t="shared" si="9"/>
        <v/>
      </c>
      <c r="AD9" s="50"/>
      <c r="AE9" s="51" t="str">
        <f t="shared" si="10"/>
        <v/>
      </c>
      <c r="AF9" s="50"/>
      <c r="AG9" s="51" t="str">
        <f t="shared" si="11"/>
        <v/>
      </c>
      <c r="AH9" s="15"/>
      <c r="AI9" s="52" t="str">
        <f t="shared" si="12"/>
        <v/>
      </c>
      <c r="AJ9" s="53" t="str">
        <f t="shared" si="13"/>
        <v/>
      </c>
      <c r="AK9" s="51" t="str">
        <f t="shared" si="14"/>
        <v/>
      </c>
      <c r="AL9" s="54" t="str">
        <f t="shared" si="15"/>
        <v/>
      </c>
      <c r="AM9" s="5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</row>
    <row r="10" spans="1:70" ht="24" customHeight="1" x14ac:dyDescent="0.3">
      <c r="A10" s="56" t="s">
        <v>88</v>
      </c>
      <c r="B10" s="57" t="s">
        <v>91</v>
      </c>
      <c r="C10" s="58"/>
      <c r="D10" s="54"/>
      <c r="E10" s="54" t="s">
        <v>87</v>
      </c>
      <c r="F10" s="59"/>
      <c r="G10" s="59"/>
      <c r="H10" s="66"/>
      <c r="I10" s="66"/>
      <c r="J10" s="62"/>
      <c r="K10" s="51" t="str">
        <f t="shared" si="0"/>
        <v/>
      </c>
      <c r="L10" s="62"/>
      <c r="M10" s="51" t="str">
        <f t="shared" si="1"/>
        <v/>
      </c>
      <c r="N10" s="62"/>
      <c r="O10" s="51" t="str">
        <f t="shared" si="2"/>
        <v/>
      </c>
      <c r="P10" s="62"/>
      <c r="Q10" s="51" t="str">
        <f t="shared" si="3"/>
        <v/>
      </c>
      <c r="R10" s="62"/>
      <c r="S10" s="51" t="str">
        <f t="shared" si="4"/>
        <v/>
      </c>
      <c r="T10" s="62"/>
      <c r="U10" s="51" t="str">
        <f t="shared" si="5"/>
        <v/>
      </c>
      <c r="V10" s="62"/>
      <c r="W10" s="51" t="str">
        <f t="shared" si="6"/>
        <v/>
      </c>
      <c r="X10" s="62"/>
      <c r="Y10" s="51" t="str">
        <f t="shared" si="7"/>
        <v/>
      </c>
      <c r="Z10" s="62"/>
      <c r="AA10" s="51" t="str">
        <f t="shared" si="8"/>
        <v/>
      </c>
      <c r="AB10" s="62"/>
      <c r="AC10" s="51" t="str">
        <f t="shared" si="9"/>
        <v/>
      </c>
      <c r="AD10" s="62"/>
      <c r="AE10" s="51" t="str">
        <f t="shared" si="10"/>
        <v/>
      </c>
      <c r="AF10" s="62"/>
      <c r="AG10" s="51" t="str">
        <f t="shared" si="11"/>
        <v/>
      </c>
      <c r="AH10" s="15"/>
      <c r="AI10" s="52" t="str">
        <f t="shared" si="12"/>
        <v/>
      </c>
      <c r="AJ10" s="53" t="str">
        <f t="shared" si="13"/>
        <v/>
      </c>
      <c r="AK10" s="51" t="str">
        <f t="shared" si="14"/>
        <v/>
      </c>
      <c r="AL10" s="54" t="str">
        <f t="shared" si="15"/>
        <v/>
      </c>
      <c r="AM10" s="63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</row>
    <row r="11" spans="1:70" ht="24" customHeight="1" x14ac:dyDescent="0.3">
      <c r="A11" s="44" t="s">
        <v>90</v>
      </c>
      <c r="B11" s="67" t="s">
        <v>91</v>
      </c>
      <c r="C11" s="68"/>
      <c r="D11" s="69"/>
      <c r="E11" s="69" t="s">
        <v>87</v>
      </c>
      <c r="F11" s="70"/>
      <c r="G11" s="70"/>
      <c r="H11" s="49"/>
      <c r="I11" s="49"/>
      <c r="J11" s="50"/>
      <c r="K11" s="71"/>
      <c r="L11" s="50"/>
      <c r="M11" s="71"/>
      <c r="N11" s="50"/>
      <c r="O11" s="71"/>
      <c r="P11" s="50"/>
      <c r="Q11" s="71"/>
      <c r="R11" s="50"/>
      <c r="S11" s="71"/>
      <c r="T11" s="50"/>
      <c r="U11" s="71"/>
      <c r="V11" s="50"/>
      <c r="W11" s="71"/>
      <c r="X11" s="50"/>
      <c r="Y11" s="71"/>
      <c r="Z11" s="50"/>
      <c r="AA11" s="71"/>
      <c r="AB11" s="50"/>
      <c r="AC11" s="71"/>
      <c r="AD11" s="50"/>
      <c r="AE11" s="71"/>
      <c r="AF11" s="50"/>
      <c r="AG11" s="71"/>
      <c r="AH11" s="15"/>
      <c r="AI11" s="72"/>
      <c r="AJ11" s="73"/>
      <c r="AK11" s="74"/>
      <c r="AL11" s="54" t="s">
        <v>91</v>
      </c>
      <c r="AM11" s="5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</row>
    <row r="12" spans="1:70" ht="24" customHeight="1" x14ac:dyDescent="0.3">
      <c r="A12" s="56" t="s">
        <v>92</v>
      </c>
      <c r="B12" s="57" t="s">
        <v>91</v>
      </c>
      <c r="C12" s="58"/>
      <c r="D12" s="54"/>
      <c r="E12" s="54" t="s">
        <v>87</v>
      </c>
      <c r="F12" s="59"/>
      <c r="G12" s="59"/>
      <c r="H12" s="66"/>
      <c r="I12" s="66"/>
      <c r="J12" s="62"/>
      <c r="K12" s="51" t="str">
        <f>IF(F12="","",F12-J12)</f>
        <v/>
      </c>
      <c r="L12" s="62"/>
      <c r="M12" s="51" t="str">
        <f>IF(F12="","",IF(K12="",F12-L12,K12+F12-L12))</f>
        <v/>
      </c>
      <c r="N12" s="62"/>
      <c r="O12" s="51" t="str">
        <f>IF(F12="","",IF(M12="",F12-N12,M12+F12-N12))</f>
        <v/>
      </c>
      <c r="P12" s="62"/>
      <c r="Q12" s="51" t="str">
        <f>IF(F12="","",IF(O12="",F12-P12,O12+F12-P12))</f>
        <v/>
      </c>
      <c r="R12" s="62"/>
      <c r="S12" s="51" t="str">
        <f>IF(F12="","",IF(Q12="",F12-R12,Q12+F12-R12))</f>
        <v/>
      </c>
      <c r="T12" s="62"/>
      <c r="U12" s="51" t="str">
        <f>IF(F12="","",IF(S12="",F12-T12,S12+F12-T12))</f>
        <v/>
      </c>
      <c r="V12" s="62"/>
      <c r="W12" s="51" t="str">
        <f>IF(F12="","",IF(U12="",F12-V12,U12+F12-V12))</f>
        <v/>
      </c>
      <c r="X12" s="62"/>
      <c r="Y12" s="51" t="str">
        <f>IF(F12="","",IF(W12="",F12-X12,W12+F12-X12))</f>
        <v/>
      </c>
      <c r="Z12" s="62"/>
      <c r="AA12" s="51" t="str">
        <f>IF(F12="","",IF(Y12="",F12-Z12,Y12+F12-Z12))</f>
        <v/>
      </c>
      <c r="AB12" s="62"/>
      <c r="AC12" s="51" t="str">
        <f>IF(F12="","",IF(AA12="",F12-AB12,AA12+F12-AB12))</f>
        <v/>
      </c>
      <c r="AD12" s="62"/>
      <c r="AE12" s="51" t="str">
        <f>IF(F12="","",IF(AC12="",F12-AD12,AC12+F12-AD12))</f>
        <v/>
      </c>
      <c r="AF12" s="62"/>
      <c r="AG12" s="51" t="str">
        <f>IF(F12="","",IF(AE12="",F12-AF12,AE12+F12-AF12))</f>
        <v/>
      </c>
      <c r="AH12" s="15"/>
      <c r="AI12" s="52" t="str">
        <f>IF(F12="","",J12+L12+N12+P12+R12+T12+V12+X12+Z12+AB12+AD12+AF12)</f>
        <v/>
      </c>
      <c r="AJ12" s="53" t="str">
        <f>IF(F12="","",F12*12)</f>
        <v/>
      </c>
      <c r="AK12" s="51" t="str">
        <f>IF(F12="","",AG12)</f>
        <v/>
      </c>
      <c r="AL12" s="54" t="str">
        <f>IF(F12="","",IF(AK12&lt;=0,"Paid Up",IF(AK12&lt;F12,"Partial","Unpaid")))</f>
        <v/>
      </c>
      <c r="AM12" s="63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</row>
    <row r="13" spans="1:70" ht="24" customHeight="1" x14ac:dyDescent="0.3">
      <c r="A13" s="44" t="s">
        <v>94</v>
      </c>
      <c r="B13" s="45" t="s">
        <v>91</v>
      </c>
      <c r="C13" s="46"/>
      <c r="D13" s="47"/>
      <c r="E13" s="47" t="s">
        <v>87</v>
      </c>
      <c r="F13" s="48"/>
      <c r="G13" s="48"/>
      <c r="H13" s="49"/>
      <c r="I13" s="49"/>
      <c r="J13" s="50"/>
      <c r="K13" s="51" t="str">
        <f>IF(F13="","",F13-J13)</f>
        <v/>
      </c>
      <c r="L13" s="50"/>
      <c r="M13" s="51" t="str">
        <f>IF(F13="","",IF(K13="",F13-L13,K13+F13-L13))</f>
        <v/>
      </c>
      <c r="N13" s="50"/>
      <c r="O13" s="51" t="str">
        <f>IF(F13="","",IF(M13="",F13-N13,M13+F13-N13))</f>
        <v/>
      </c>
      <c r="P13" s="50"/>
      <c r="Q13" s="51" t="str">
        <f>IF(F13="","",IF(O13="",F13-P13,O13+F13-P13))</f>
        <v/>
      </c>
      <c r="R13" s="50"/>
      <c r="S13" s="51" t="str">
        <f>IF(F13="","",IF(Q13="",F13-R13,Q13+F13-R13))</f>
        <v/>
      </c>
      <c r="T13" s="50"/>
      <c r="U13" s="51" t="str">
        <f>IF(F13="","",IF(S13="",F13-T13,S13+F13-T13))</f>
        <v/>
      </c>
      <c r="V13" s="50"/>
      <c r="W13" s="51" t="str">
        <f>IF(F13="","",IF(U13="",F13-V13,U13+F13-V13))</f>
        <v/>
      </c>
      <c r="X13" s="50"/>
      <c r="Y13" s="51" t="str">
        <f>IF(F13="","",IF(W13="",F13-X13,W13+F13-X13))</f>
        <v/>
      </c>
      <c r="Z13" s="50"/>
      <c r="AA13" s="51" t="str">
        <f>IF(F13="","",IF(Y13="",F13-Z13,Y13+F13-Z13))</f>
        <v/>
      </c>
      <c r="AB13" s="50"/>
      <c r="AC13" s="51" t="str">
        <f>IF(F13="","",IF(AA13="",F13-AB13,AA13+F13-AB13))</f>
        <v/>
      </c>
      <c r="AD13" s="50"/>
      <c r="AE13" s="51" t="str">
        <f>IF(F13="","",IF(AC13="",F13-AD13,AC13+F13-AD13))</f>
        <v/>
      </c>
      <c r="AF13" s="50"/>
      <c r="AG13" s="51" t="str">
        <f>IF(F13="","",IF(AE13="",F13-AF13,AE13+F13-AF13))</f>
        <v/>
      </c>
      <c r="AH13" s="15"/>
      <c r="AI13" s="52" t="str">
        <f>IF(F13="","",J13+L13+N13+P13+R13+T13+V13+X13+Z13+AB13+AD13+AF13)</f>
        <v/>
      </c>
      <c r="AJ13" s="53" t="str">
        <f>IF(F13="","",F13*12)</f>
        <v/>
      </c>
      <c r="AK13" s="51" t="str">
        <f>IF(F13="","",AG13)</f>
        <v/>
      </c>
      <c r="AL13" s="54" t="str">
        <f>IF(F13="","",IF(AK13&lt;=0,"Paid Up",IF(AK13&lt;F13,"Partial","Unpaid")))</f>
        <v/>
      </c>
      <c r="AM13" s="5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</row>
    <row r="14" spans="1:70" ht="24" customHeight="1" x14ac:dyDescent="0.3">
      <c r="A14" s="56" t="s">
        <v>96</v>
      </c>
      <c r="B14" s="75" t="s">
        <v>91</v>
      </c>
      <c r="C14" s="76"/>
      <c r="D14" s="77"/>
      <c r="E14" s="77" t="s">
        <v>87</v>
      </c>
      <c r="F14" s="78"/>
      <c r="G14" s="78"/>
      <c r="H14" s="66"/>
      <c r="I14" s="66"/>
      <c r="J14" s="62"/>
      <c r="K14" s="79"/>
      <c r="L14" s="62"/>
      <c r="M14" s="79"/>
      <c r="N14" s="62"/>
      <c r="O14" s="79"/>
      <c r="P14" s="62"/>
      <c r="Q14" s="79"/>
      <c r="R14" s="62"/>
      <c r="S14" s="79"/>
      <c r="T14" s="62"/>
      <c r="U14" s="79"/>
      <c r="V14" s="62"/>
      <c r="W14" s="79"/>
      <c r="X14" s="62"/>
      <c r="Y14" s="79"/>
      <c r="Z14" s="62"/>
      <c r="AA14" s="79"/>
      <c r="AB14" s="62"/>
      <c r="AC14" s="79"/>
      <c r="AD14" s="62"/>
      <c r="AE14" s="79"/>
      <c r="AF14" s="62"/>
      <c r="AG14" s="79"/>
      <c r="AH14" s="15"/>
      <c r="AI14" s="52"/>
      <c r="AJ14" s="53"/>
      <c r="AK14" s="51"/>
      <c r="AL14" s="54" t="s">
        <v>91</v>
      </c>
      <c r="AM14" s="63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</row>
    <row r="15" spans="1:70" ht="24" customHeight="1" x14ac:dyDescent="0.3">
      <c r="A15" s="44" t="s">
        <v>97</v>
      </c>
      <c r="B15" s="67" t="s">
        <v>91</v>
      </c>
      <c r="C15" s="68"/>
      <c r="D15" s="69"/>
      <c r="E15" s="69" t="s">
        <v>87</v>
      </c>
      <c r="F15" s="70"/>
      <c r="G15" s="70"/>
      <c r="H15" s="49"/>
      <c r="I15" s="49"/>
      <c r="J15" s="50"/>
      <c r="K15" s="71"/>
      <c r="L15" s="50"/>
      <c r="M15" s="71"/>
      <c r="N15" s="50"/>
      <c r="O15" s="71"/>
      <c r="P15" s="50"/>
      <c r="Q15" s="71"/>
      <c r="R15" s="50"/>
      <c r="S15" s="71"/>
      <c r="T15" s="50"/>
      <c r="U15" s="71"/>
      <c r="V15" s="50"/>
      <c r="W15" s="71"/>
      <c r="X15" s="50"/>
      <c r="Y15" s="71"/>
      <c r="Z15" s="50"/>
      <c r="AA15" s="71"/>
      <c r="AB15" s="50"/>
      <c r="AC15" s="71"/>
      <c r="AD15" s="50"/>
      <c r="AE15" s="71"/>
      <c r="AF15" s="50"/>
      <c r="AG15" s="71"/>
      <c r="AH15" s="15"/>
      <c r="AI15" s="72"/>
      <c r="AJ15" s="73"/>
      <c r="AK15" s="74"/>
      <c r="AL15" s="54" t="s">
        <v>91</v>
      </c>
      <c r="AM15" s="5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</row>
    <row r="16" spans="1:70" ht="24" customHeight="1" x14ac:dyDescent="0.3">
      <c r="A16" s="56" t="s">
        <v>98</v>
      </c>
      <c r="B16" s="57" t="s">
        <v>91</v>
      </c>
      <c r="C16" s="58"/>
      <c r="D16" s="54"/>
      <c r="E16" s="54" t="s">
        <v>87</v>
      </c>
      <c r="F16" s="59"/>
      <c r="G16" s="59"/>
      <c r="H16" s="66"/>
      <c r="I16" s="66"/>
      <c r="J16" s="62"/>
      <c r="K16" s="51" t="str">
        <f>IF(F16="","",F16-J16)</f>
        <v/>
      </c>
      <c r="L16" s="62"/>
      <c r="M16" s="51" t="str">
        <f>IF(F16="","",IF(K16="",F16-L16,K16+F16-L16))</f>
        <v/>
      </c>
      <c r="N16" s="62"/>
      <c r="O16" s="51" t="str">
        <f>IF(F16="","",IF(M16="",F16-N16,M16+F16-N16))</f>
        <v/>
      </c>
      <c r="P16" s="62"/>
      <c r="Q16" s="51" t="str">
        <f>IF(F16="","",IF(O16="",F16-P16,O16+F16-P16))</f>
        <v/>
      </c>
      <c r="R16" s="62"/>
      <c r="S16" s="51" t="str">
        <f>IF(F16="","",IF(Q16="",F16-R16,Q16+F16-R16))</f>
        <v/>
      </c>
      <c r="T16" s="62"/>
      <c r="U16" s="51" t="str">
        <f>IF(F16="","",IF(S16="",F16-T16,S16+F16-T16))</f>
        <v/>
      </c>
      <c r="V16" s="62"/>
      <c r="W16" s="51" t="str">
        <f>IF(F16="","",IF(U16="",F16-V16,U16+F16-V16))</f>
        <v/>
      </c>
      <c r="X16" s="62"/>
      <c r="Y16" s="51" t="str">
        <f>IF(F16="","",IF(W16="",F16-X16,W16+F16-X16))</f>
        <v/>
      </c>
      <c r="Z16" s="62"/>
      <c r="AA16" s="51" t="str">
        <f>IF(F16="","",IF(Y16="",F16-Z16,Y16+F16-Z16))</f>
        <v/>
      </c>
      <c r="AB16" s="62"/>
      <c r="AC16" s="51" t="str">
        <f>IF(F16="","",IF(AA16="",F16-AB16,AA16+F16-AB16))</f>
        <v/>
      </c>
      <c r="AD16" s="62"/>
      <c r="AE16" s="51" t="str">
        <f>IF(F16="","",IF(AC16="",F16-AD16,AC16+F16-AD16))</f>
        <v/>
      </c>
      <c r="AF16" s="62"/>
      <c r="AG16" s="51" t="str">
        <f>IF(F16="","",IF(AE16="",F16-AF16,AE16+F16-AF16))</f>
        <v/>
      </c>
      <c r="AH16" s="15"/>
      <c r="AI16" s="52" t="str">
        <f>IF(F16="","",J16+L16+N16+P16+R16+T16+V16+X16+Z16+AB16+AD16+AF16)</f>
        <v/>
      </c>
      <c r="AJ16" s="53" t="str">
        <f>IF(F16="","",F16*12)</f>
        <v/>
      </c>
      <c r="AK16" s="51" t="str">
        <f>IF(F16="","",AG16)</f>
        <v/>
      </c>
      <c r="AL16" s="54" t="str">
        <f>IF(F16="","",IF(AK16&lt;=0,"Paid Up",IF(AK16&lt;F16,"Partial","Unpaid")))</f>
        <v/>
      </c>
      <c r="AM16" s="63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</row>
    <row r="17" spans="1:70" ht="24" customHeight="1" x14ac:dyDescent="0.3">
      <c r="A17" s="80"/>
      <c r="B17" s="45"/>
      <c r="C17" s="46"/>
      <c r="D17" s="47"/>
      <c r="E17" s="47"/>
      <c r="F17" s="70">
        <v>0</v>
      </c>
      <c r="G17" s="70"/>
      <c r="H17" s="49"/>
      <c r="I17" s="49"/>
      <c r="J17" s="50"/>
      <c r="K17" s="71"/>
      <c r="L17" s="50"/>
      <c r="M17" s="71"/>
      <c r="N17" s="50"/>
      <c r="O17" s="71"/>
      <c r="P17" s="50"/>
      <c r="Q17" s="71"/>
      <c r="R17" s="50"/>
      <c r="S17" s="71"/>
      <c r="T17" s="50"/>
      <c r="U17" s="71"/>
      <c r="V17" s="50"/>
      <c r="W17" s="71"/>
      <c r="X17" s="50"/>
      <c r="Y17" s="71"/>
      <c r="Z17" s="50"/>
      <c r="AA17" s="71"/>
      <c r="AB17" s="50"/>
      <c r="AC17" s="71"/>
      <c r="AD17" s="50"/>
      <c r="AE17" s="71"/>
      <c r="AF17" s="50"/>
      <c r="AG17" s="71"/>
      <c r="AH17" s="15"/>
      <c r="AI17" s="72"/>
      <c r="AJ17" s="73"/>
      <c r="AK17" s="74"/>
      <c r="AL17" s="47"/>
      <c r="AM17" s="5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 spans="1:70" ht="24" customHeight="1" x14ac:dyDescent="0.3">
      <c r="A18" s="43"/>
      <c r="B18" s="57"/>
      <c r="C18" s="58"/>
      <c r="D18" s="54"/>
      <c r="E18" s="54"/>
      <c r="F18" s="78">
        <v>0</v>
      </c>
      <c r="G18" s="78"/>
      <c r="H18" s="66"/>
      <c r="I18" s="66"/>
      <c r="J18" s="62"/>
      <c r="K18" s="79"/>
      <c r="L18" s="62"/>
      <c r="M18" s="79"/>
      <c r="N18" s="62"/>
      <c r="O18" s="79"/>
      <c r="P18" s="62"/>
      <c r="Q18" s="79"/>
      <c r="R18" s="62"/>
      <c r="S18" s="79"/>
      <c r="T18" s="62"/>
      <c r="U18" s="79"/>
      <c r="V18" s="62"/>
      <c r="W18" s="79"/>
      <c r="X18" s="62"/>
      <c r="Y18" s="79"/>
      <c r="Z18" s="62"/>
      <c r="AA18" s="79"/>
      <c r="AB18" s="62"/>
      <c r="AC18" s="79"/>
      <c r="AD18" s="62"/>
      <c r="AE18" s="79"/>
      <c r="AF18" s="62"/>
      <c r="AG18" s="79"/>
      <c r="AH18" s="15"/>
      <c r="AI18" s="52"/>
      <c r="AJ18" s="53"/>
      <c r="AK18" s="51"/>
      <c r="AL18" s="54"/>
      <c r="AM18" s="63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</row>
    <row r="19" spans="1:70" ht="24" customHeight="1" x14ac:dyDescent="0.3">
      <c r="A19" s="80"/>
      <c r="B19" s="45"/>
      <c r="C19" s="46"/>
      <c r="D19" s="47"/>
      <c r="E19" s="47"/>
      <c r="F19" s="70">
        <v>0</v>
      </c>
      <c r="G19" s="70"/>
      <c r="H19" s="49"/>
      <c r="I19" s="49"/>
      <c r="J19" s="50"/>
      <c r="K19" s="71"/>
      <c r="L19" s="50"/>
      <c r="M19" s="71"/>
      <c r="N19" s="50"/>
      <c r="O19" s="71"/>
      <c r="P19" s="50"/>
      <c r="Q19" s="71"/>
      <c r="R19" s="50"/>
      <c r="S19" s="71"/>
      <c r="T19" s="50"/>
      <c r="U19" s="71"/>
      <c r="V19" s="50"/>
      <c r="W19" s="71"/>
      <c r="X19" s="50"/>
      <c r="Y19" s="71"/>
      <c r="Z19" s="50"/>
      <c r="AA19" s="71"/>
      <c r="AB19" s="50"/>
      <c r="AC19" s="71"/>
      <c r="AD19" s="50"/>
      <c r="AE19" s="71"/>
      <c r="AF19" s="50"/>
      <c r="AG19" s="71"/>
      <c r="AH19" s="15"/>
      <c r="AI19" s="72"/>
      <c r="AJ19" s="73"/>
      <c r="AK19" s="74"/>
      <c r="AL19" s="47"/>
      <c r="AM19" s="5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</row>
    <row r="20" spans="1:70" ht="24" customHeight="1" x14ac:dyDescent="0.3">
      <c r="A20" s="43"/>
      <c r="B20" s="57"/>
      <c r="C20" s="58"/>
      <c r="D20" s="54"/>
      <c r="E20" s="54"/>
      <c r="F20" s="78">
        <v>0</v>
      </c>
      <c r="G20" s="78"/>
      <c r="H20" s="66"/>
      <c r="I20" s="66"/>
      <c r="J20" s="62"/>
      <c r="K20" s="79"/>
      <c r="L20" s="62"/>
      <c r="M20" s="79"/>
      <c r="N20" s="62"/>
      <c r="O20" s="79"/>
      <c r="P20" s="62"/>
      <c r="Q20" s="79"/>
      <c r="R20" s="62"/>
      <c r="S20" s="79"/>
      <c r="T20" s="62"/>
      <c r="U20" s="79"/>
      <c r="V20" s="62"/>
      <c r="W20" s="79"/>
      <c r="X20" s="62"/>
      <c r="Y20" s="79"/>
      <c r="Z20" s="62"/>
      <c r="AA20" s="79"/>
      <c r="AB20" s="62"/>
      <c r="AC20" s="79"/>
      <c r="AD20" s="62"/>
      <c r="AE20" s="79"/>
      <c r="AF20" s="62"/>
      <c r="AG20" s="79"/>
      <c r="AH20" s="15"/>
      <c r="AI20" s="52"/>
      <c r="AJ20" s="53"/>
      <c r="AK20" s="51"/>
      <c r="AL20" s="54"/>
      <c r="AM20" s="63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</row>
    <row r="21" spans="1:70" ht="24" customHeight="1" x14ac:dyDescent="0.3">
      <c r="A21" s="80"/>
      <c r="B21" s="45"/>
      <c r="C21" s="46"/>
      <c r="D21" s="47"/>
      <c r="E21" s="47"/>
      <c r="F21" s="70">
        <v>0</v>
      </c>
      <c r="G21" s="70"/>
      <c r="H21" s="49"/>
      <c r="I21" s="49"/>
      <c r="J21" s="50"/>
      <c r="K21" s="71"/>
      <c r="L21" s="50"/>
      <c r="M21" s="71"/>
      <c r="N21" s="50"/>
      <c r="O21" s="71"/>
      <c r="P21" s="50"/>
      <c r="Q21" s="71"/>
      <c r="R21" s="50"/>
      <c r="S21" s="71"/>
      <c r="T21" s="50"/>
      <c r="U21" s="71"/>
      <c r="V21" s="50"/>
      <c r="W21" s="71"/>
      <c r="X21" s="50"/>
      <c r="Y21" s="71"/>
      <c r="Z21" s="50"/>
      <c r="AA21" s="71"/>
      <c r="AB21" s="50"/>
      <c r="AC21" s="71"/>
      <c r="AD21" s="50"/>
      <c r="AE21" s="71"/>
      <c r="AF21" s="50"/>
      <c r="AG21" s="71"/>
      <c r="AH21" s="15"/>
      <c r="AI21" s="72"/>
      <c r="AJ21" s="73"/>
      <c r="AK21" s="74"/>
      <c r="AL21" s="47"/>
      <c r="AM21" s="5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</row>
    <row r="22" spans="1:70" ht="24" customHeight="1" x14ac:dyDescent="0.3">
      <c r="A22" s="43"/>
      <c r="B22" s="57"/>
      <c r="C22" s="58"/>
      <c r="D22" s="54"/>
      <c r="E22" s="54"/>
      <c r="F22" s="78">
        <v>0</v>
      </c>
      <c r="G22" s="78"/>
      <c r="H22" s="66"/>
      <c r="I22" s="66"/>
      <c r="J22" s="62"/>
      <c r="K22" s="79"/>
      <c r="L22" s="62"/>
      <c r="M22" s="79"/>
      <c r="N22" s="62"/>
      <c r="O22" s="79"/>
      <c r="P22" s="62"/>
      <c r="Q22" s="79"/>
      <c r="R22" s="62"/>
      <c r="S22" s="79"/>
      <c r="T22" s="62"/>
      <c r="U22" s="79"/>
      <c r="V22" s="62"/>
      <c r="W22" s="79"/>
      <c r="X22" s="62"/>
      <c r="Y22" s="79"/>
      <c r="Z22" s="62"/>
      <c r="AA22" s="79"/>
      <c r="AB22" s="62"/>
      <c r="AC22" s="79"/>
      <c r="AD22" s="62"/>
      <c r="AE22" s="79"/>
      <c r="AF22" s="62"/>
      <c r="AG22" s="79"/>
      <c r="AH22" s="15"/>
      <c r="AI22" s="52"/>
      <c r="AJ22" s="53"/>
      <c r="AK22" s="51"/>
      <c r="AL22" s="54"/>
      <c r="AM22" s="63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</row>
    <row r="23" spans="1:70" ht="24" customHeight="1" x14ac:dyDescent="0.3">
      <c r="A23" s="80"/>
      <c r="B23" s="45"/>
      <c r="C23" s="46"/>
      <c r="D23" s="47"/>
      <c r="E23" s="47"/>
      <c r="F23" s="70">
        <v>0</v>
      </c>
      <c r="G23" s="70"/>
      <c r="H23" s="49"/>
      <c r="I23" s="49"/>
      <c r="J23" s="50"/>
      <c r="K23" s="71"/>
      <c r="L23" s="50"/>
      <c r="M23" s="71"/>
      <c r="N23" s="50"/>
      <c r="O23" s="71"/>
      <c r="P23" s="50"/>
      <c r="Q23" s="71"/>
      <c r="R23" s="50"/>
      <c r="S23" s="71"/>
      <c r="T23" s="50"/>
      <c r="U23" s="71"/>
      <c r="V23" s="50"/>
      <c r="W23" s="71"/>
      <c r="X23" s="50"/>
      <c r="Y23" s="71"/>
      <c r="Z23" s="50"/>
      <c r="AA23" s="71"/>
      <c r="AB23" s="50"/>
      <c r="AC23" s="71"/>
      <c r="AD23" s="50"/>
      <c r="AE23" s="71"/>
      <c r="AF23" s="50"/>
      <c r="AG23" s="71"/>
      <c r="AH23" s="15"/>
      <c r="AI23" s="72"/>
      <c r="AJ23" s="73"/>
      <c r="AK23" s="74"/>
      <c r="AL23" s="47"/>
      <c r="AM23" s="5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</row>
    <row r="24" spans="1:70" ht="24" customHeight="1" x14ac:dyDescent="0.3">
      <c r="A24" s="43"/>
      <c r="B24" s="57"/>
      <c r="C24" s="58"/>
      <c r="D24" s="54"/>
      <c r="E24" s="54"/>
      <c r="F24" s="78">
        <v>0</v>
      </c>
      <c r="G24" s="78"/>
      <c r="H24" s="66"/>
      <c r="I24" s="66"/>
      <c r="J24" s="62"/>
      <c r="K24" s="79"/>
      <c r="L24" s="62"/>
      <c r="M24" s="79"/>
      <c r="N24" s="62"/>
      <c r="O24" s="79"/>
      <c r="P24" s="62"/>
      <c r="Q24" s="79"/>
      <c r="R24" s="62"/>
      <c r="S24" s="79"/>
      <c r="T24" s="62"/>
      <c r="U24" s="79"/>
      <c r="V24" s="62"/>
      <c r="W24" s="79"/>
      <c r="X24" s="62"/>
      <c r="Y24" s="79"/>
      <c r="Z24" s="62"/>
      <c r="AA24" s="79"/>
      <c r="AB24" s="62"/>
      <c r="AC24" s="79"/>
      <c r="AD24" s="62"/>
      <c r="AE24" s="79"/>
      <c r="AF24" s="62"/>
      <c r="AG24" s="79"/>
      <c r="AH24" s="15"/>
      <c r="AI24" s="52"/>
      <c r="AJ24" s="53"/>
      <c r="AK24" s="51"/>
      <c r="AL24" s="54"/>
      <c r="AM24" s="63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</row>
    <row r="25" spans="1:70" ht="24" customHeight="1" x14ac:dyDescent="0.3">
      <c r="A25" s="80"/>
      <c r="B25" s="45"/>
      <c r="C25" s="46"/>
      <c r="D25" s="47"/>
      <c r="E25" s="47"/>
      <c r="F25" s="70">
        <v>0</v>
      </c>
      <c r="G25" s="70"/>
      <c r="H25" s="49"/>
      <c r="I25" s="49"/>
      <c r="J25" s="50"/>
      <c r="K25" s="71"/>
      <c r="L25" s="50"/>
      <c r="M25" s="71"/>
      <c r="N25" s="50"/>
      <c r="O25" s="71"/>
      <c r="P25" s="50"/>
      <c r="Q25" s="71"/>
      <c r="R25" s="50"/>
      <c r="S25" s="71"/>
      <c r="T25" s="50"/>
      <c r="U25" s="71"/>
      <c r="V25" s="50"/>
      <c r="W25" s="71"/>
      <c r="X25" s="50"/>
      <c r="Y25" s="71"/>
      <c r="Z25" s="50"/>
      <c r="AA25" s="71"/>
      <c r="AB25" s="50"/>
      <c r="AC25" s="71"/>
      <c r="AD25" s="50"/>
      <c r="AE25" s="71"/>
      <c r="AF25" s="50"/>
      <c r="AG25" s="71"/>
      <c r="AH25" s="15"/>
      <c r="AI25" s="72"/>
      <c r="AJ25" s="73"/>
      <c r="AK25" s="74"/>
      <c r="AL25" s="47"/>
      <c r="AM25" s="5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</row>
    <row r="26" spans="1:70" ht="24" customHeight="1" x14ac:dyDescent="0.3">
      <c r="A26" s="43"/>
      <c r="B26" s="57"/>
      <c r="C26" s="58"/>
      <c r="D26" s="54"/>
      <c r="E26" s="54"/>
      <c r="F26" s="78">
        <v>0</v>
      </c>
      <c r="G26" s="78"/>
      <c r="H26" s="66"/>
      <c r="I26" s="66"/>
      <c r="J26" s="62"/>
      <c r="K26" s="79"/>
      <c r="L26" s="62"/>
      <c r="M26" s="79"/>
      <c r="N26" s="62"/>
      <c r="O26" s="79"/>
      <c r="P26" s="62"/>
      <c r="Q26" s="79"/>
      <c r="R26" s="62"/>
      <c r="S26" s="79"/>
      <c r="T26" s="62"/>
      <c r="U26" s="79"/>
      <c r="V26" s="62"/>
      <c r="W26" s="79"/>
      <c r="X26" s="62"/>
      <c r="Y26" s="79"/>
      <c r="Z26" s="62"/>
      <c r="AA26" s="79"/>
      <c r="AB26" s="62"/>
      <c r="AC26" s="79"/>
      <c r="AD26" s="62"/>
      <c r="AE26" s="79"/>
      <c r="AF26" s="62"/>
      <c r="AG26" s="79"/>
      <c r="AH26" s="15"/>
      <c r="AI26" s="52"/>
      <c r="AJ26" s="53"/>
      <c r="AK26" s="51"/>
      <c r="AL26" s="54"/>
      <c r="AM26" s="63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</row>
    <row r="27" spans="1:70" ht="24" customHeight="1" x14ac:dyDescent="0.3">
      <c r="A27" s="80"/>
      <c r="B27" s="45"/>
      <c r="C27" s="46"/>
      <c r="D27" s="47"/>
      <c r="E27" s="47"/>
      <c r="F27" s="70">
        <v>0</v>
      </c>
      <c r="G27" s="70"/>
      <c r="H27" s="49"/>
      <c r="I27" s="49"/>
      <c r="J27" s="50"/>
      <c r="K27" s="71"/>
      <c r="L27" s="50"/>
      <c r="M27" s="71"/>
      <c r="N27" s="50"/>
      <c r="O27" s="71"/>
      <c r="P27" s="50"/>
      <c r="Q27" s="71"/>
      <c r="R27" s="50"/>
      <c r="S27" s="71"/>
      <c r="T27" s="50"/>
      <c r="U27" s="71"/>
      <c r="V27" s="50"/>
      <c r="W27" s="71"/>
      <c r="X27" s="50"/>
      <c r="Y27" s="71"/>
      <c r="Z27" s="50"/>
      <c r="AA27" s="71"/>
      <c r="AB27" s="50"/>
      <c r="AC27" s="71"/>
      <c r="AD27" s="50"/>
      <c r="AE27" s="71"/>
      <c r="AF27" s="50"/>
      <c r="AG27" s="71"/>
      <c r="AH27" s="15"/>
      <c r="AI27" s="72"/>
      <c r="AJ27" s="73"/>
      <c r="AK27" s="74"/>
      <c r="AL27" s="47"/>
      <c r="AM27" s="5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</row>
    <row r="28" spans="1:70" ht="24" customHeight="1" x14ac:dyDescent="0.3">
      <c r="A28" s="43"/>
      <c r="B28" s="57"/>
      <c r="C28" s="58"/>
      <c r="D28" s="54"/>
      <c r="E28" s="54"/>
      <c r="F28" s="78">
        <v>0</v>
      </c>
      <c r="G28" s="78"/>
      <c r="H28" s="66"/>
      <c r="I28" s="66"/>
      <c r="J28" s="62"/>
      <c r="K28" s="79"/>
      <c r="L28" s="62"/>
      <c r="M28" s="79"/>
      <c r="N28" s="62"/>
      <c r="O28" s="79"/>
      <c r="P28" s="62"/>
      <c r="Q28" s="79"/>
      <c r="R28" s="62"/>
      <c r="S28" s="79"/>
      <c r="T28" s="62"/>
      <c r="U28" s="79"/>
      <c r="V28" s="62"/>
      <c r="W28" s="79"/>
      <c r="X28" s="62"/>
      <c r="Y28" s="79"/>
      <c r="Z28" s="62"/>
      <c r="AA28" s="79"/>
      <c r="AB28" s="62"/>
      <c r="AC28" s="79"/>
      <c r="AD28" s="62"/>
      <c r="AE28" s="79"/>
      <c r="AF28" s="62"/>
      <c r="AG28" s="79"/>
      <c r="AH28" s="15"/>
      <c r="AI28" s="52"/>
      <c r="AJ28" s="53"/>
      <c r="AK28" s="51"/>
      <c r="AL28" s="54"/>
      <c r="AM28" s="63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</row>
    <row r="29" spans="1:70" ht="24" customHeight="1" x14ac:dyDescent="0.3">
      <c r="A29" s="80"/>
      <c r="B29" s="45"/>
      <c r="C29" s="46"/>
      <c r="D29" s="47"/>
      <c r="E29" s="47"/>
      <c r="F29" s="70">
        <v>0</v>
      </c>
      <c r="G29" s="70"/>
      <c r="H29" s="49"/>
      <c r="I29" s="49"/>
      <c r="J29" s="50"/>
      <c r="K29" s="71"/>
      <c r="L29" s="50"/>
      <c r="M29" s="71"/>
      <c r="N29" s="50"/>
      <c r="O29" s="71"/>
      <c r="P29" s="50"/>
      <c r="Q29" s="71"/>
      <c r="R29" s="50"/>
      <c r="S29" s="71"/>
      <c r="T29" s="50"/>
      <c r="U29" s="71"/>
      <c r="V29" s="50"/>
      <c r="W29" s="71"/>
      <c r="X29" s="50"/>
      <c r="Y29" s="71"/>
      <c r="Z29" s="50"/>
      <c r="AA29" s="71"/>
      <c r="AB29" s="50"/>
      <c r="AC29" s="71"/>
      <c r="AD29" s="50"/>
      <c r="AE29" s="71"/>
      <c r="AF29" s="50"/>
      <c r="AG29" s="71"/>
      <c r="AH29" s="15"/>
      <c r="AI29" s="72"/>
      <c r="AJ29" s="73"/>
      <c r="AK29" s="74"/>
      <c r="AL29" s="47"/>
      <c r="AM29" s="5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</row>
    <row r="30" spans="1:70" ht="24" customHeight="1" x14ac:dyDescent="0.3">
      <c r="A30" s="43"/>
      <c r="B30" s="57"/>
      <c r="C30" s="58"/>
      <c r="D30" s="54"/>
      <c r="E30" s="54"/>
      <c r="F30" s="78">
        <v>0</v>
      </c>
      <c r="G30" s="78"/>
      <c r="H30" s="66"/>
      <c r="I30" s="66"/>
      <c r="J30" s="62"/>
      <c r="K30" s="79"/>
      <c r="L30" s="62"/>
      <c r="M30" s="79"/>
      <c r="N30" s="62"/>
      <c r="O30" s="79"/>
      <c r="P30" s="62"/>
      <c r="Q30" s="79"/>
      <c r="R30" s="62"/>
      <c r="S30" s="79"/>
      <c r="T30" s="62"/>
      <c r="U30" s="79"/>
      <c r="V30" s="62"/>
      <c r="W30" s="79"/>
      <c r="X30" s="62"/>
      <c r="Y30" s="79"/>
      <c r="Z30" s="62"/>
      <c r="AA30" s="79"/>
      <c r="AB30" s="62"/>
      <c r="AC30" s="79"/>
      <c r="AD30" s="62"/>
      <c r="AE30" s="79"/>
      <c r="AF30" s="62"/>
      <c r="AG30" s="79"/>
      <c r="AH30" s="15"/>
      <c r="AI30" s="52"/>
      <c r="AJ30" s="53"/>
      <c r="AK30" s="51"/>
      <c r="AL30" s="54"/>
      <c r="AM30" s="63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</row>
    <row r="31" spans="1:70" ht="24" customHeight="1" x14ac:dyDescent="0.3">
      <c r="A31" s="80"/>
      <c r="B31" s="45"/>
      <c r="C31" s="46"/>
      <c r="D31" s="47"/>
      <c r="E31" s="47"/>
      <c r="F31" s="70">
        <v>0</v>
      </c>
      <c r="G31" s="70"/>
      <c r="H31" s="49"/>
      <c r="I31" s="49"/>
      <c r="J31" s="50"/>
      <c r="K31" s="71"/>
      <c r="L31" s="50"/>
      <c r="M31" s="71"/>
      <c r="N31" s="50"/>
      <c r="O31" s="71"/>
      <c r="P31" s="50"/>
      <c r="Q31" s="71"/>
      <c r="R31" s="50"/>
      <c r="S31" s="71"/>
      <c r="T31" s="50"/>
      <c r="U31" s="71"/>
      <c r="V31" s="50"/>
      <c r="W31" s="71"/>
      <c r="X31" s="50"/>
      <c r="Y31" s="71"/>
      <c r="Z31" s="50"/>
      <c r="AA31" s="71"/>
      <c r="AB31" s="50"/>
      <c r="AC31" s="71"/>
      <c r="AD31" s="50"/>
      <c r="AE31" s="71"/>
      <c r="AF31" s="50"/>
      <c r="AG31" s="71"/>
      <c r="AH31" s="15"/>
      <c r="AI31" s="72"/>
      <c r="AJ31" s="73"/>
      <c r="AK31" s="74"/>
      <c r="AL31" s="47"/>
      <c r="AM31" s="5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</row>
    <row r="32" spans="1:70" ht="24" customHeight="1" x14ac:dyDescent="0.3">
      <c r="A32" s="43"/>
      <c r="B32" s="57"/>
      <c r="C32" s="58"/>
      <c r="D32" s="54"/>
      <c r="E32" s="54"/>
      <c r="F32" s="78">
        <v>0</v>
      </c>
      <c r="G32" s="78"/>
      <c r="H32" s="66"/>
      <c r="I32" s="66"/>
      <c r="J32" s="62"/>
      <c r="K32" s="79"/>
      <c r="L32" s="62"/>
      <c r="M32" s="79"/>
      <c r="N32" s="62"/>
      <c r="O32" s="79"/>
      <c r="P32" s="62"/>
      <c r="Q32" s="79"/>
      <c r="R32" s="62"/>
      <c r="S32" s="79"/>
      <c r="T32" s="62"/>
      <c r="U32" s="79"/>
      <c r="V32" s="62"/>
      <c r="W32" s="79"/>
      <c r="X32" s="62"/>
      <c r="Y32" s="79"/>
      <c r="Z32" s="62"/>
      <c r="AA32" s="79"/>
      <c r="AB32" s="62"/>
      <c r="AC32" s="79"/>
      <c r="AD32" s="62"/>
      <c r="AE32" s="79"/>
      <c r="AF32" s="62"/>
      <c r="AG32" s="79"/>
      <c r="AH32" s="15"/>
      <c r="AI32" s="52"/>
      <c r="AJ32" s="53"/>
      <c r="AK32" s="51"/>
      <c r="AL32" s="54"/>
      <c r="AM32" s="63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</row>
    <row r="33" spans="1:70" ht="1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</row>
    <row r="34" spans="1:70" ht="27.75" customHeight="1" x14ac:dyDescent="0.3">
      <c r="A34" s="81" t="s">
        <v>100</v>
      </c>
      <c r="B34" s="82"/>
      <c r="C34" s="82"/>
      <c r="D34" s="82"/>
      <c r="E34" s="82"/>
      <c r="F34" s="83">
        <f>SUM(F3:F32)</f>
        <v>31000</v>
      </c>
      <c r="G34" s="82"/>
      <c r="H34" s="82"/>
      <c r="I34" s="82"/>
      <c r="J34" s="84">
        <f>SUM(J3:J32)</f>
        <v>179000</v>
      </c>
      <c r="K34" s="82"/>
      <c r="L34" s="84">
        <f>SUM(L3:L32)</f>
        <v>7000</v>
      </c>
      <c r="M34" s="82"/>
      <c r="N34" s="84">
        <f>SUM(N3:N32)</f>
        <v>7000</v>
      </c>
      <c r="O34" s="82"/>
      <c r="P34" s="84">
        <f>SUM(P3:P32)</f>
        <v>0</v>
      </c>
      <c r="Q34" s="82"/>
      <c r="R34" s="84">
        <f>SUM(R3:R32)</f>
        <v>14000</v>
      </c>
      <c r="S34" s="82"/>
      <c r="T34" s="84">
        <f>SUM(T3:T32)</f>
        <v>14000</v>
      </c>
      <c r="U34" s="82"/>
      <c r="V34" s="84">
        <f>SUM(V3:V32)</f>
        <v>26000</v>
      </c>
      <c r="W34" s="82"/>
      <c r="X34" s="84">
        <f>SUM(X3:X32)</f>
        <v>7000</v>
      </c>
      <c r="Y34" s="82"/>
      <c r="Z34" s="84">
        <f>SUM(Z3:Z32)</f>
        <v>0</v>
      </c>
      <c r="AA34" s="82"/>
      <c r="AB34" s="84">
        <f>SUM(AB3:AB32)</f>
        <v>19000</v>
      </c>
      <c r="AC34" s="82"/>
      <c r="AD34" s="84">
        <f>SUM(AD3:AD32)</f>
        <v>14000</v>
      </c>
      <c r="AE34" s="82"/>
      <c r="AF34" s="84">
        <f>SUM(AF3:AF32)</f>
        <v>35000</v>
      </c>
      <c r="AG34" s="82"/>
      <c r="AH34" s="15"/>
      <c r="AI34" s="84">
        <f>SUM(AI3:AI32)</f>
        <v>322000</v>
      </c>
      <c r="AJ34" s="82"/>
      <c r="AK34" s="85">
        <f>SUM(AK3:AK32)</f>
        <v>50000</v>
      </c>
      <c r="AL34" s="82"/>
      <c r="AM34" s="82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</row>
    <row r="35" spans="1:70" ht="1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</row>
    <row r="36" spans="1:70" ht="19.5" customHeight="1" x14ac:dyDescent="0.3">
      <c r="A36" s="126" t="s">
        <v>101</v>
      </c>
      <c r="B36" s="126"/>
      <c r="C36" s="126"/>
      <c r="D36" s="126"/>
      <c r="E36" s="126"/>
      <c r="F36" s="126"/>
      <c r="G36" s="126"/>
      <c r="H36" s="126"/>
      <c r="I36" s="126"/>
      <c r="J36" s="127" t="s">
        <v>102</v>
      </c>
      <c r="K36" s="127"/>
      <c r="L36" s="127"/>
      <c r="M36" s="127"/>
      <c r="N36" s="15"/>
      <c r="O36" s="128" t="s">
        <v>103</v>
      </c>
      <c r="P36" s="128"/>
      <c r="Q36" s="128"/>
      <c r="R36" s="128"/>
      <c r="S36" s="15"/>
      <c r="T36" s="15"/>
      <c r="U36" s="129" t="s">
        <v>104</v>
      </c>
      <c r="V36" s="129"/>
      <c r="W36" s="129"/>
      <c r="X36" s="129"/>
      <c r="Y36" s="15"/>
      <c r="Z36" s="15"/>
      <c r="AA36" s="130" t="s">
        <v>105</v>
      </c>
      <c r="AB36" s="130"/>
      <c r="AC36" s="130"/>
      <c r="AD36" s="130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</row>
    <row r="37" spans="1:70" ht="1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 spans="1:70" ht="1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</row>
    <row r="39" spans="1:70" ht="1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</row>
    <row r="40" spans="1:70" ht="1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 spans="1:70" ht="1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 spans="1:70" ht="15" customHeight="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</row>
    <row r="43" spans="1:70" ht="1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</row>
    <row r="44" spans="1:70" ht="1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 spans="1:70" ht="1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</row>
  </sheetData>
  <mergeCells count="6">
    <mergeCell ref="A1:BN1"/>
    <mergeCell ref="A36:I36"/>
    <mergeCell ref="J36:M36"/>
    <mergeCell ref="O36:R36"/>
    <mergeCell ref="U36:X36"/>
    <mergeCell ref="AA36:AD36"/>
  </mergeCells>
  <conditionalFormatting sqref="K3:K32">
    <cfRule type="expression" dxfId="57" priority="2">
      <formula>K3&gt;0</formula>
    </cfRule>
    <cfRule type="expression" dxfId="56" priority="3">
      <formula>AND(K3&lt;=0,K3&lt;&gt;"")</formula>
    </cfRule>
    <cfRule type="expression" dxfId="55" priority="4">
      <formula>K3&lt;0</formula>
    </cfRule>
  </conditionalFormatting>
  <conditionalFormatting sqref="M3:M32">
    <cfRule type="expression" dxfId="54" priority="5">
      <formula>M3&gt;0</formula>
    </cfRule>
    <cfRule type="expression" dxfId="53" priority="6">
      <formula>AND(M3&lt;=0,M3&lt;&gt;"")</formula>
    </cfRule>
    <cfRule type="expression" dxfId="52" priority="7">
      <formula>M3&lt;0</formula>
    </cfRule>
  </conditionalFormatting>
  <conditionalFormatting sqref="O3:O32">
    <cfRule type="expression" dxfId="51" priority="8">
      <formula>O3&gt;0</formula>
    </cfRule>
    <cfRule type="expression" dxfId="50" priority="9">
      <formula>AND(O3&lt;=0,O3&lt;&gt;"")</formula>
    </cfRule>
    <cfRule type="expression" dxfId="49" priority="10">
      <formula>O3&lt;0</formula>
    </cfRule>
  </conditionalFormatting>
  <conditionalFormatting sqref="Q3:Q32">
    <cfRule type="expression" dxfId="48" priority="11">
      <formula>Q3&gt;0</formula>
    </cfRule>
    <cfRule type="expression" dxfId="47" priority="12">
      <formula>AND(Q3&lt;=0,Q3&lt;&gt;"")</formula>
    </cfRule>
    <cfRule type="expression" dxfId="46" priority="13">
      <formula>Q3&lt;0</formula>
    </cfRule>
  </conditionalFormatting>
  <conditionalFormatting sqref="S3:S32">
    <cfRule type="expression" dxfId="45" priority="14">
      <formula>S3&gt;0</formula>
    </cfRule>
    <cfRule type="expression" dxfId="44" priority="15">
      <formula>AND(S3&lt;=0,S3&lt;&gt;"")</formula>
    </cfRule>
    <cfRule type="expression" dxfId="43" priority="16">
      <formula>S3&lt;0</formula>
    </cfRule>
  </conditionalFormatting>
  <conditionalFormatting sqref="U3:U32">
    <cfRule type="expression" dxfId="42" priority="17">
      <formula>U3&gt;0</formula>
    </cfRule>
    <cfRule type="expression" dxfId="41" priority="18">
      <formula>AND(U3&lt;=0,U3&lt;&gt;"")</formula>
    </cfRule>
    <cfRule type="expression" dxfId="40" priority="19">
      <formula>U3&lt;0</formula>
    </cfRule>
  </conditionalFormatting>
  <conditionalFormatting sqref="W3:W32">
    <cfRule type="expression" dxfId="39" priority="20">
      <formula>W3&gt;0</formula>
    </cfRule>
    <cfRule type="expression" dxfId="38" priority="21">
      <formula>AND(W3&lt;=0,W3&lt;&gt;"")</formula>
    </cfRule>
    <cfRule type="expression" dxfId="37" priority="22">
      <formula>W3&lt;0</formula>
    </cfRule>
  </conditionalFormatting>
  <conditionalFormatting sqref="Y3:Y32">
    <cfRule type="expression" dxfId="36" priority="23">
      <formula>Y3&gt;0</formula>
    </cfRule>
    <cfRule type="expression" dxfId="35" priority="24">
      <formula>AND(Y3&lt;=0,Y3&lt;&gt;"")</formula>
    </cfRule>
    <cfRule type="expression" dxfId="34" priority="25">
      <formula>Y3&lt;0</formula>
    </cfRule>
  </conditionalFormatting>
  <conditionalFormatting sqref="AA3:AA32">
    <cfRule type="expression" dxfId="33" priority="26">
      <formula>AA3&gt;0</formula>
    </cfRule>
    <cfRule type="expression" dxfId="32" priority="27">
      <formula>AND(AA3&lt;=0,AA3&lt;&gt;"")</formula>
    </cfRule>
    <cfRule type="expression" dxfId="31" priority="28">
      <formula>AA3&lt;0</formula>
    </cfRule>
  </conditionalFormatting>
  <conditionalFormatting sqref="AC3:AC32">
    <cfRule type="expression" dxfId="30" priority="29">
      <formula>AC3&gt;0</formula>
    </cfRule>
    <cfRule type="expression" dxfId="29" priority="30">
      <formula>AND(AC3&lt;=0,AC3&lt;&gt;"")</formula>
    </cfRule>
    <cfRule type="expression" dxfId="28" priority="31">
      <formula>AC3&lt;0</formula>
    </cfRule>
  </conditionalFormatting>
  <conditionalFormatting sqref="AE3:AE32">
    <cfRule type="expression" dxfId="27" priority="32">
      <formula>AE3&gt;0</formula>
    </cfRule>
    <cfRule type="expression" dxfId="26" priority="33">
      <formula>AND(AE3&lt;=0,AE3&lt;&gt;"")</formula>
    </cfRule>
    <cfRule type="expression" dxfId="25" priority="34">
      <formula>AE3&lt;0</formula>
    </cfRule>
  </conditionalFormatting>
  <conditionalFormatting sqref="AG3:AG32">
    <cfRule type="expression" dxfId="24" priority="35">
      <formula>AG3&gt;0</formula>
    </cfRule>
    <cfRule type="expression" dxfId="23" priority="36">
      <formula>AND(AG3&lt;=0,AG3&lt;&gt;"")</formula>
    </cfRule>
    <cfRule type="expression" dxfId="22" priority="37">
      <formula>AG3&lt;0</formula>
    </cfRule>
  </conditionalFormatting>
  <conditionalFormatting sqref="AK3:AK32">
    <cfRule type="expression" dxfId="21" priority="44">
      <formula>AK3&lt;0</formula>
    </cfRule>
    <cfRule type="expression" dxfId="20" priority="42">
      <formula>AK3&gt;0</formula>
    </cfRule>
    <cfRule type="expression" dxfId="19" priority="43">
      <formula>AND(AK3&lt;=0,AK3&lt;&gt;"")</formula>
    </cfRule>
  </conditionalFormatting>
  <conditionalFormatting sqref="AL3:AL32">
    <cfRule type="expression" dxfId="18" priority="38">
      <formula>AL3="Paid Up"</formula>
    </cfRule>
    <cfRule type="expression" dxfId="17" priority="40">
      <formula>AL3="Partial"</formula>
    </cfRule>
    <cfRule type="expression" dxfId="16" priority="41">
      <formula>AL3="VACANT"</formula>
    </cfRule>
    <cfRule type="expression" dxfId="15" priority="39">
      <formula>AL3="Unpaid"</formula>
    </cfRule>
  </conditionalFormatting>
  <dataValidations count="2">
    <dataValidation type="date" showInputMessage="1" promptTitle="Pick date" prompt="Type DD/MM/YYYY or use date picker" sqref="H3:I33" xr:uid="{00000000-0002-0000-0100-000000000000}">
      <formula1>DATE(2000,1,1)</formula1>
      <formula2>DATE(2100,12,31)</formula2>
    </dataValidation>
    <dataValidation type="list" sqref="E3:E33" xr:uid="{00000000-0002-0000-0100-000001000000}">
      <formula1>"1 Bedroom,Bedsitter,2 Bedroom,Studio,3 Bedroom,Commercial"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P40"/>
  <sheetViews>
    <sheetView showGridLines="0" zoomScaleNormal="100" workbookViewId="0">
      <pane ySplit="2" topLeftCell="A3" activePane="bottomLeft" state="frozen"/>
      <selection pane="bottomLeft" activeCell="L6" sqref="L6"/>
    </sheetView>
  </sheetViews>
  <sheetFormatPr defaultColWidth="8.6640625" defaultRowHeight="14.4" x14ac:dyDescent="0.3"/>
  <cols>
    <col min="1" max="1" width="11" customWidth="1"/>
    <col min="2" max="2" width="22" customWidth="1"/>
    <col min="3" max="3" width="14" customWidth="1"/>
    <col min="4" max="6" width="13" customWidth="1"/>
    <col min="7" max="7" width="15" customWidth="1"/>
    <col min="8" max="8" width="16" customWidth="1"/>
    <col min="9" max="10" width="14" customWidth="1"/>
    <col min="11" max="12" width="16" customWidth="1"/>
    <col min="13" max="13" width="28" customWidth="1"/>
  </cols>
  <sheetData>
    <row r="1" spans="1:16" ht="36" customHeight="1" x14ac:dyDescent="0.3">
      <c r="A1" s="125" t="s">
        <v>106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27.75" customHeight="1" x14ac:dyDescent="0.3">
      <c r="A2" s="86" t="s">
        <v>10</v>
      </c>
      <c r="B2" s="86" t="s">
        <v>11</v>
      </c>
      <c r="C2" s="86" t="s">
        <v>12</v>
      </c>
      <c r="D2" s="86" t="s">
        <v>13</v>
      </c>
      <c r="E2" s="86" t="s">
        <v>14</v>
      </c>
      <c r="F2" s="86" t="s">
        <v>15</v>
      </c>
      <c r="G2" s="86" t="s">
        <v>69</v>
      </c>
      <c r="H2" s="86" t="s">
        <v>17</v>
      </c>
      <c r="I2" s="86" t="s">
        <v>18</v>
      </c>
      <c r="J2" s="86" t="s">
        <v>107</v>
      </c>
      <c r="K2" s="86" t="s">
        <v>108</v>
      </c>
      <c r="L2" s="86" t="s">
        <v>109</v>
      </c>
      <c r="M2" s="86" t="s">
        <v>71</v>
      </c>
      <c r="N2" s="87"/>
      <c r="O2" s="87"/>
      <c r="P2" s="87"/>
    </row>
    <row r="3" spans="1:16" ht="24" customHeight="1" x14ac:dyDescent="0.3">
      <c r="A3" s="88" t="str">
        <f>'Rent Tracker'!A3</f>
        <v>House 1</v>
      </c>
      <c r="B3" s="46" t="str">
        <f>'Rent Tracker'!B3</f>
        <v>IAN</v>
      </c>
      <c r="C3" s="73">
        <f>'Rent Tracker'!F3</f>
        <v>7000</v>
      </c>
      <c r="D3" s="89">
        <f>'Rent Tracker'!K3</f>
        <v>0</v>
      </c>
      <c r="E3" s="89">
        <f>'Rent Tracker'!M3</f>
        <v>0</v>
      </c>
      <c r="F3" s="89">
        <f>'Rent Tracker'!O3</f>
        <v>0</v>
      </c>
      <c r="G3" s="90">
        <f>'Rent Tracker'!AI3</f>
        <v>84000</v>
      </c>
      <c r="H3" s="91">
        <f>'Rent Tracker'!AK3</f>
        <v>0</v>
      </c>
      <c r="I3" s="92">
        <f>IF(OR('Rent Tracker'!F3=0,'Rent Tracker'!F3=""),"",
IF('Rent Tracker'!AK3&lt;=0,0,
ROUNDUP('Rent Tracker'!AK3/'Rent Tracker'!F3,0)))</f>
        <v>0</v>
      </c>
      <c r="J3" s="93"/>
      <c r="K3" s="93"/>
      <c r="L3" s="94" t="s">
        <v>185</v>
      </c>
      <c r="M3" s="95"/>
      <c r="N3" s="15"/>
      <c r="O3" s="15"/>
      <c r="P3" s="15"/>
    </row>
    <row r="4" spans="1:16" ht="24" customHeight="1" x14ac:dyDescent="0.3">
      <c r="A4" s="96" t="str">
        <f>'Rent Tracker'!A4</f>
        <v>House 2</v>
      </c>
      <c r="B4" s="58" t="str">
        <f>'Rent Tracker'!B4</f>
        <v>JAMES</v>
      </c>
      <c r="C4" s="53">
        <f>'Rent Tracker'!F4</f>
        <v>8000</v>
      </c>
      <c r="D4" s="97">
        <f>'Rent Tracker'!K4</f>
        <v>-42000</v>
      </c>
      <c r="E4" s="97">
        <f>'Rent Tracker'!M4</f>
        <v>-34000</v>
      </c>
      <c r="F4" s="97">
        <f>'Rent Tracker'!O4</f>
        <v>-26000</v>
      </c>
      <c r="G4" s="98">
        <f>'Rent Tracker'!AI4</f>
        <v>96000</v>
      </c>
      <c r="H4" s="99">
        <f>'Rent Tracker'!AK4</f>
        <v>0</v>
      </c>
      <c r="I4" s="100">
        <f>IF(OR('Rent Tracker'!F4=0,'Rent Tracker'!F4=""),"",
IF('Rent Tracker'!AK4&lt;=0,0,
ROUNDUP('Rent Tracker'!AK4/'Rent Tracker'!F4,0)))</f>
        <v>0</v>
      </c>
      <c r="J4" s="101"/>
      <c r="K4" s="101"/>
      <c r="L4" s="102" t="s">
        <v>185</v>
      </c>
      <c r="M4" s="103"/>
      <c r="N4" s="15"/>
      <c r="O4" s="15"/>
      <c r="P4" s="15"/>
    </row>
    <row r="5" spans="1:16" ht="24" customHeight="1" x14ac:dyDescent="0.3">
      <c r="A5" s="88" t="str">
        <f>'Rent Tracker'!A5</f>
        <v>House 3</v>
      </c>
      <c r="B5" s="46" t="str">
        <f>'Rent Tracker'!B5</f>
        <v>KELVIN</v>
      </c>
      <c r="C5" s="73">
        <f>'Rent Tracker'!F5</f>
        <v>8000</v>
      </c>
      <c r="D5" s="89">
        <f>'Rent Tracker'!K5</f>
        <v>-24000</v>
      </c>
      <c r="E5" s="89">
        <f>'Rent Tracker'!M5</f>
        <v>-16000</v>
      </c>
      <c r="F5" s="89">
        <f>'Rent Tracker'!O5</f>
        <v>-8000</v>
      </c>
      <c r="G5" s="90">
        <f>'Rent Tracker'!AI5</f>
        <v>45000</v>
      </c>
      <c r="H5" s="91">
        <f>'Rent Tracker'!AK5</f>
        <v>51000</v>
      </c>
      <c r="I5" s="92">
        <f>IF(OR('Rent Tracker'!F5=0,'Rent Tracker'!F5=""),"",
IF('Rent Tracker'!AK5&lt;=0,0,
ROUNDUP('Rent Tracker'!AK5/'Rent Tracker'!F5,0)))</f>
        <v>7</v>
      </c>
      <c r="J5" s="93"/>
      <c r="K5" s="93"/>
      <c r="L5" s="94" t="s">
        <v>186</v>
      </c>
      <c r="M5" s="95"/>
      <c r="N5" s="15"/>
      <c r="O5" s="15"/>
      <c r="P5" s="15"/>
    </row>
    <row r="6" spans="1:16" ht="24" customHeight="1" x14ac:dyDescent="0.3">
      <c r="A6" s="96" t="str">
        <f>'Rent Tracker'!A6</f>
        <v>House 4</v>
      </c>
      <c r="B6" s="58" t="str">
        <f>'Rent Tracker'!B6</f>
        <v>JOHN</v>
      </c>
      <c r="C6" s="53">
        <f>'Rent Tracker'!F6</f>
        <v>8000</v>
      </c>
      <c r="D6" s="97">
        <f>'Rent Tracker'!K6</f>
        <v>-82000</v>
      </c>
      <c r="E6" s="97">
        <f>'Rent Tracker'!M6</f>
        <v>-74000</v>
      </c>
      <c r="F6" s="97">
        <f>'Rent Tracker'!O6</f>
        <v>-66000</v>
      </c>
      <c r="G6" s="98">
        <f>'Rent Tracker'!AI6</f>
        <v>97000</v>
      </c>
      <c r="H6" s="99">
        <f>'Rent Tracker'!AK6</f>
        <v>-1000</v>
      </c>
      <c r="I6" s="100">
        <f>IF(OR('Rent Tracker'!F6=0,'Rent Tracker'!F6=""),"",
IF('Rent Tracker'!AK6&lt;=0,0,
ROUNDUP('Rent Tracker'!AK6/'Rent Tracker'!F6,0)))</f>
        <v>0</v>
      </c>
      <c r="J6" s="101"/>
      <c r="K6" s="101"/>
      <c r="L6" s="102" t="s">
        <v>187</v>
      </c>
      <c r="M6" s="103"/>
      <c r="N6" s="15"/>
      <c r="O6" s="15"/>
      <c r="P6" s="15"/>
    </row>
    <row r="7" spans="1:16" ht="24" customHeight="1" x14ac:dyDescent="0.3">
      <c r="A7" s="88" t="str">
        <f>'Rent Tracker'!A7</f>
        <v>House 5</v>
      </c>
      <c r="B7" s="46" t="str">
        <f>'Rent Tracker'!B7</f>
        <v>VACANT</v>
      </c>
      <c r="C7" s="73">
        <f>'Rent Tracker'!F7</f>
        <v>0</v>
      </c>
      <c r="D7" s="89" t="str">
        <f>'Rent Tracker'!K7</f>
        <v/>
      </c>
      <c r="E7" s="89" t="str">
        <f>'Rent Tracker'!M7</f>
        <v/>
      </c>
      <c r="F7" s="89" t="str">
        <f>'Rent Tracker'!O7</f>
        <v/>
      </c>
      <c r="G7" s="90" t="str">
        <f>'Rent Tracker'!AI7</f>
        <v/>
      </c>
      <c r="H7" s="91" t="str">
        <f>'Rent Tracker'!AK7</f>
        <v/>
      </c>
      <c r="I7" s="92" t="str">
        <f>IF(OR('Rent Tracker'!F7=0,'Rent Tracker'!F7=""),"",
IF('Rent Tracker'!AK7&lt;=0,0,
ROUNDUP('Rent Tracker'!AK7/'Rent Tracker'!F7,0)))</f>
        <v/>
      </c>
      <c r="J7" s="93"/>
      <c r="K7" s="93"/>
      <c r="L7" s="94"/>
      <c r="M7" s="95"/>
      <c r="N7" s="15"/>
      <c r="O7" s="15"/>
      <c r="P7" s="15"/>
    </row>
    <row r="8" spans="1:16" ht="24" customHeight="1" x14ac:dyDescent="0.3">
      <c r="A8" s="96" t="str">
        <f>'Rent Tracker'!A8</f>
        <v>House 6</v>
      </c>
      <c r="B8" s="58" t="str">
        <f>'Rent Tracker'!B8</f>
        <v>VACANT</v>
      </c>
      <c r="C8" s="53">
        <f>'Rent Tracker'!F8</f>
        <v>0</v>
      </c>
      <c r="D8" s="97" t="str">
        <f>'Rent Tracker'!K8</f>
        <v/>
      </c>
      <c r="E8" s="97" t="str">
        <f>'Rent Tracker'!M8</f>
        <v/>
      </c>
      <c r="F8" s="97" t="str">
        <f>'Rent Tracker'!O8</f>
        <v/>
      </c>
      <c r="G8" s="98" t="str">
        <f>'Rent Tracker'!AI8</f>
        <v/>
      </c>
      <c r="H8" s="99" t="str">
        <f>'Rent Tracker'!AK8</f>
        <v/>
      </c>
      <c r="I8" s="100" t="str">
        <f>IF(OR('Rent Tracker'!F8=0,'Rent Tracker'!F8=""),"",
IF('Rent Tracker'!AK8&lt;=0,0,
ROUNDUP('Rent Tracker'!AK8/'Rent Tracker'!F8,0)))</f>
        <v/>
      </c>
      <c r="J8" s="101"/>
      <c r="K8" s="101"/>
      <c r="L8" s="102"/>
      <c r="M8" s="103"/>
      <c r="N8" s="15"/>
      <c r="O8" s="15"/>
      <c r="P8" s="15"/>
    </row>
    <row r="9" spans="1:16" ht="24" customHeight="1" x14ac:dyDescent="0.3">
      <c r="A9" s="88" t="str">
        <f>'Rent Tracker'!A9</f>
        <v>House 7</v>
      </c>
      <c r="B9" s="46" t="str">
        <f>'Rent Tracker'!B9</f>
        <v>VACANT</v>
      </c>
      <c r="C9" s="73">
        <f>'Rent Tracker'!F9</f>
        <v>0</v>
      </c>
      <c r="D9" s="89" t="str">
        <f>'Rent Tracker'!K9</f>
        <v/>
      </c>
      <c r="E9" s="89" t="str">
        <f>'Rent Tracker'!M9</f>
        <v/>
      </c>
      <c r="F9" s="89" t="str">
        <f>'Rent Tracker'!O9</f>
        <v/>
      </c>
      <c r="G9" s="90" t="str">
        <f>'Rent Tracker'!AI9</f>
        <v/>
      </c>
      <c r="H9" s="91" t="str">
        <f>'Rent Tracker'!AK9</f>
        <v/>
      </c>
      <c r="I9" s="92" t="str">
        <f>IF(OR('Rent Tracker'!F9=0,'Rent Tracker'!F9=""),"",
IF('Rent Tracker'!AK9&lt;=0,0,
ROUNDUP('Rent Tracker'!AK9/'Rent Tracker'!F9,0)))</f>
        <v/>
      </c>
      <c r="J9" s="93"/>
      <c r="K9" s="93"/>
      <c r="L9" s="94"/>
      <c r="M9" s="95"/>
      <c r="N9" s="15"/>
      <c r="O9" s="15"/>
      <c r="P9" s="15"/>
    </row>
    <row r="10" spans="1:16" ht="24" customHeight="1" x14ac:dyDescent="0.3">
      <c r="A10" s="96" t="str">
        <f>'Rent Tracker'!A10</f>
        <v>House 8</v>
      </c>
      <c r="B10" s="58" t="str">
        <f>'Rent Tracker'!B10</f>
        <v>VACANT</v>
      </c>
      <c r="C10" s="53">
        <f>'Rent Tracker'!F10</f>
        <v>0</v>
      </c>
      <c r="D10" s="97" t="str">
        <f>'Rent Tracker'!K10</f>
        <v/>
      </c>
      <c r="E10" s="97" t="str">
        <f>'Rent Tracker'!M10</f>
        <v/>
      </c>
      <c r="F10" s="97" t="str">
        <f>'Rent Tracker'!O10</f>
        <v/>
      </c>
      <c r="G10" s="98" t="str">
        <f>'Rent Tracker'!AI10</f>
        <v/>
      </c>
      <c r="H10" s="99" t="str">
        <f>'Rent Tracker'!AK10</f>
        <v/>
      </c>
      <c r="I10" s="100" t="str">
        <f>IF(OR('Rent Tracker'!F10=0,'Rent Tracker'!F10=""),"",
IF('Rent Tracker'!AK10&lt;=0,0,
ROUNDUP('Rent Tracker'!AK10/'Rent Tracker'!F10,0)))</f>
        <v/>
      </c>
      <c r="J10" s="101"/>
      <c r="K10" s="101"/>
      <c r="L10" s="102"/>
      <c r="M10" s="103"/>
      <c r="N10" s="15"/>
      <c r="O10" s="15"/>
      <c r="P10" s="15"/>
    </row>
    <row r="11" spans="1:16" ht="24" customHeight="1" x14ac:dyDescent="0.3">
      <c r="A11" s="88" t="str">
        <f>'Rent Tracker'!A11</f>
        <v>House 9</v>
      </c>
      <c r="B11" s="46" t="str">
        <f>'Rent Tracker'!B11</f>
        <v>VACANT</v>
      </c>
      <c r="C11" s="73">
        <f>'Rent Tracker'!F11</f>
        <v>0</v>
      </c>
      <c r="D11" s="89">
        <f>'Rent Tracker'!K11</f>
        <v>0</v>
      </c>
      <c r="E11" s="89">
        <f>'Rent Tracker'!M11</f>
        <v>0</v>
      </c>
      <c r="F11" s="89">
        <f>'Rent Tracker'!O11</f>
        <v>0</v>
      </c>
      <c r="G11" s="90">
        <f>'Rent Tracker'!AI11</f>
        <v>0</v>
      </c>
      <c r="H11" s="91">
        <f>'Rent Tracker'!AK11</f>
        <v>0</v>
      </c>
      <c r="I11" s="92" t="str">
        <f>IF(OR('Rent Tracker'!F11=0,'Rent Tracker'!F11=""),"",
IF('Rent Tracker'!AK11&lt;=0,0,
ROUNDUP('Rent Tracker'!AK11/'Rent Tracker'!F11,0)))</f>
        <v/>
      </c>
      <c r="J11" s="93"/>
      <c r="K11" s="93"/>
      <c r="L11" s="94"/>
      <c r="M11" s="95"/>
      <c r="N11" s="15"/>
      <c r="O11" s="15"/>
      <c r="P11" s="15"/>
    </row>
    <row r="12" spans="1:16" ht="24" customHeight="1" x14ac:dyDescent="0.3">
      <c r="A12" s="96" t="str">
        <f>'Rent Tracker'!A12</f>
        <v>House 10</v>
      </c>
      <c r="B12" s="58" t="str">
        <f>'Rent Tracker'!B12</f>
        <v>VACANT</v>
      </c>
      <c r="C12" s="53">
        <f>'Rent Tracker'!F12</f>
        <v>0</v>
      </c>
      <c r="D12" s="97" t="str">
        <f>'Rent Tracker'!K12</f>
        <v/>
      </c>
      <c r="E12" s="97" t="str">
        <f>'Rent Tracker'!M12</f>
        <v/>
      </c>
      <c r="F12" s="97" t="str">
        <f>'Rent Tracker'!O12</f>
        <v/>
      </c>
      <c r="G12" s="98" t="str">
        <f>'Rent Tracker'!AI12</f>
        <v/>
      </c>
      <c r="H12" s="99" t="str">
        <f>'Rent Tracker'!AK12</f>
        <v/>
      </c>
      <c r="I12" s="100" t="str">
        <f>IF(OR('Rent Tracker'!F12=0,'Rent Tracker'!F12=""),"",
IF('Rent Tracker'!AK12&lt;=0,0,
ROUNDUP('Rent Tracker'!AK12/'Rent Tracker'!F12,0)))</f>
        <v/>
      </c>
      <c r="J12" s="101"/>
      <c r="K12" s="101"/>
      <c r="L12" s="102"/>
      <c r="M12" s="103"/>
      <c r="N12" s="15"/>
      <c r="O12" s="15"/>
      <c r="P12" s="15"/>
    </row>
    <row r="13" spans="1:16" ht="24" customHeight="1" x14ac:dyDescent="0.3">
      <c r="A13" s="88" t="str">
        <f>'Rent Tracker'!A13</f>
        <v>House 11</v>
      </c>
      <c r="B13" s="46" t="str">
        <f>'Rent Tracker'!B13</f>
        <v>VACANT</v>
      </c>
      <c r="C13" s="73">
        <f>'Rent Tracker'!F13</f>
        <v>0</v>
      </c>
      <c r="D13" s="89" t="str">
        <f>'Rent Tracker'!K13</f>
        <v/>
      </c>
      <c r="E13" s="89" t="str">
        <f>'Rent Tracker'!M13</f>
        <v/>
      </c>
      <c r="F13" s="89" t="str">
        <f>'Rent Tracker'!O13</f>
        <v/>
      </c>
      <c r="G13" s="90" t="str">
        <f>'Rent Tracker'!AI13</f>
        <v/>
      </c>
      <c r="H13" s="91" t="str">
        <f>'Rent Tracker'!AK13</f>
        <v/>
      </c>
      <c r="I13" s="92" t="str">
        <f>IF(OR('Rent Tracker'!F13=0,'Rent Tracker'!F13=""),"",
IF('Rent Tracker'!AK13&lt;=0,0,
ROUNDUP('Rent Tracker'!AK13/'Rent Tracker'!F13,0)))</f>
        <v/>
      </c>
      <c r="J13" s="93"/>
      <c r="K13" s="93"/>
      <c r="L13" s="94"/>
      <c r="M13" s="95"/>
      <c r="N13" s="15"/>
      <c r="O13" s="15"/>
      <c r="P13" s="15"/>
    </row>
    <row r="14" spans="1:16" ht="24" customHeight="1" x14ac:dyDescent="0.3">
      <c r="A14" s="96" t="str">
        <f>'Rent Tracker'!A14</f>
        <v>House 12</v>
      </c>
      <c r="B14" s="58" t="str">
        <f>'Rent Tracker'!B14</f>
        <v>VACANT</v>
      </c>
      <c r="C14" s="53">
        <f>'Rent Tracker'!F14</f>
        <v>0</v>
      </c>
      <c r="D14" s="97">
        <f>'Rent Tracker'!K14</f>
        <v>0</v>
      </c>
      <c r="E14" s="97">
        <f>'Rent Tracker'!M14</f>
        <v>0</v>
      </c>
      <c r="F14" s="97">
        <f>'Rent Tracker'!O14</f>
        <v>0</v>
      </c>
      <c r="G14" s="98">
        <f>'Rent Tracker'!AI14</f>
        <v>0</v>
      </c>
      <c r="H14" s="99">
        <f>'Rent Tracker'!AK14</f>
        <v>0</v>
      </c>
      <c r="I14" s="100" t="str">
        <f>IF(OR('Rent Tracker'!F14=0,'Rent Tracker'!F14=""),"",
IF('Rent Tracker'!AK14&lt;=0,0,
ROUNDUP('Rent Tracker'!AK14/'Rent Tracker'!F14,0)))</f>
        <v/>
      </c>
      <c r="J14" s="101"/>
      <c r="K14" s="101"/>
      <c r="L14" s="102"/>
      <c r="M14" s="103"/>
      <c r="N14" s="15"/>
      <c r="O14" s="15"/>
      <c r="P14" s="15"/>
    </row>
    <row r="15" spans="1:16" ht="24" customHeight="1" x14ac:dyDescent="0.3">
      <c r="A15" s="88" t="str">
        <f>'Rent Tracker'!A15</f>
        <v>House 13</v>
      </c>
      <c r="B15" s="46" t="str">
        <f>'Rent Tracker'!B15</f>
        <v>VACANT</v>
      </c>
      <c r="C15" s="73">
        <f>'Rent Tracker'!F15</f>
        <v>0</v>
      </c>
      <c r="D15" s="89">
        <f>'Rent Tracker'!K15</f>
        <v>0</v>
      </c>
      <c r="E15" s="89">
        <f>'Rent Tracker'!M15</f>
        <v>0</v>
      </c>
      <c r="F15" s="89">
        <f>'Rent Tracker'!O15</f>
        <v>0</v>
      </c>
      <c r="G15" s="90">
        <f>'Rent Tracker'!AI15</f>
        <v>0</v>
      </c>
      <c r="H15" s="91">
        <f>'Rent Tracker'!AK15</f>
        <v>0</v>
      </c>
      <c r="I15" s="92" t="str">
        <f>IF(OR('Rent Tracker'!F15=0,'Rent Tracker'!F15=""),"",
IF('Rent Tracker'!AK15&lt;=0,0,
ROUNDUP('Rent Tracker'!AK15/'Rent Tracker'!F15,0)))</f>
        <v/>
      </c>
      <c r="J15" s="93"/>
      <c r="K15" s="93"/>
      <c r="L15" s="94"/>
      <c r="M15" s="95"/>
      <c r="N15" s="15"/>
      <c r="O15" s="15"/>
      <c r="P15" s="15"/>
    </row>
    <row r="16" spans="1:16" ht="24" customHeight="1" x14ac:dyDescent="0.3">
      <c r="A16" s="96" t="str">
        <f>'Rent Tracker'!A16</f>
        <v>House 14</v>
      </c>
      <c r="B16" s="58" t="str">
        <f>'Rent Tracker'!B16</f>
        <v>VACANT</v>
      </c>
      <c r="C16" s="53">
        <f>'Rent Tracker'!F16</f>
        <v>0</v>
      </c>
      <c r="D16" s="97" t="str">
        <f>'Rent Tracker'!K16</f>
        <v/>
      </c>
      <c r="E16" s="97" t="str">
        <f>'Rent Tracker'!M16</f>
        <v/>
      </c>
      <c r="F16" s="97" t="str">
        <f>'Rent Tracker'!O16</f>
        <v/>
      </c>
      <c r="G16" s="98" t="str">
        <f>'Rent Tracker'!AI16</f>
        <v/>
      </c>
      <c r="H16" s="99" t="str">
        <f>'Rent Tracker'!AK16</f>
        <v/>
      </c>
      <c r="I16" s="100" t="str">
        <f>IF(OR('Rent Tracker'!F16=0,'Rent Tracker'!F16=""),"",
IF('Rent Tracker'!AK16&lt;=0,0,
ROUNDUP('Rent Tracker'!AK16/'Rent Tracker'!F16,0)))</f>
        <v/>
      </c>
      <c r="J16" s="101"/>
      <c r="K16" s="101"/>
      <c r="L16" s="102"/>
      <c r="M16" s="103"/>
      <c r="N16" s="15"/>
      <c r="O16" s="15"/>
      <c r="P16" s="15"/>
    </row>
    <row r="17" spans="1:16" ht="24" customHeight="1" x14ac:dyDescent="0.3">
      <c r="A17" s="88">
        <f>'Rent Tracker'!A17</f>
        <v>0</v>
      </c>
      <c r="B17" s="46">
        <f>'Rent Tracker'!B17</f>
        <v>0</v>
      </c>
      <c r="C17" s="73">
        <f>'Rent Tracker'!F17</f>
        <v>0</v>
      </c>
      <c r="D17" s="89">
        <f>'Rent Tracker'!K17</f>
        <v>0</v>
      </c>
      <c r="E17" s="89">
        <f>'Rent Tracker'!M17</f>
        <v>0</v>
      </c>
      <c r="F17" s="89">
        <f>'Rent Tracker'!O17</f>
        <v>0</v>
      </c>
      <c r="G17" s="90">
        <f>'Rent Tracker'!AI17</f>
        <v>0</v>
      </c>
      <c r="H17" s="91">
        <f>'Rent Tracker'!AK17</f>
        <v>0</v>
      </c>
      <c r="I17" s="92" t="str">
        <f>IF(OR('Rent Tracker'!F17=0,'Rent Tracker'!F17=""),"",
IF('Rent Tracker'!AK17&lt;=0,0,
ROUNDUP('Rent Tracker'!AK17/'Rent Tracker'!F17,0)))</f>
        <v/>
      </c>
      <c r="J17" s="93"/>
      <c r="K17" s="93"/>
      <c r="L17" s="94"/>
      <c r="M17" s="95"/>
      <c r="N17" s="15"/>
      <c r="O17" s="15"/>
      <c r="P17" s="15"/>
    </row>
    <row r="18" spans="1:16" ht="24" customHeight="1" x14ac:dyDescent="0.3">
      <c r="A18" s="96">
        <f>'Rent Tracker'!A18</f>
        <v>0</v>
      </c>
      <c r="B18" s="58">
        <f>'Rent Tracker'!B18</f>
        <v>0</v>
      </c>
      <c r="C18" s="53">
        <f>'Rent Tracker'!F18</f>
        <v>0</v>
      </c>
      <c r="D18" s="97">
        <f>'Rent Tracker'!K18</f>
        <v>0</v>
      </c>
      <c r="E18" s="97">
        <f>'Rent Tracker'!M18</f>
        <v>0</v>
      </c>
      <c r="F18" s="97">
        <f>'Rent Tracker'!O18</f>
        <v>0</v>
      </c>
      <c r="G18" s="98">
        <f>'Rent Tracker'!AI18</f>
        <v>0</v>
      </c>
      <c r="H18" s="99">
        <f>'Rent Tracker'!AK18</f>
        <v>0</v>
      </c>
      <c r="I18" s="100" t="str">
        <f>IF(OR('Rent Tracker'!F18=0,'Rent Tracker'!F18=""),"",
IF('Rent Tracker'!AK18&lt;=0,0,
ROUNDUP('Rent Tracker'!AK18/'Rent Tracker'!F18,0)))</f>
        <v/>
      </c>
      <c r="J18" s="101"/>
      <c r="K18" s="101"/>
      <c r="L18" s="102"/>
      <c r="M18" s="103"/>
      <c r="N18" s="15"/>
      <c r="O18" s="15"/>
      <c r="P18" s="15"/>
    </row>
    <row r="19" spans="1:16" ht="24" customHeight="1" x14ac:dyDescent="0.3">
      <c r="A19" s="88">
        <f>'Rent Tracker'!A19</f>
        <v>0</v>
      </c>
      <c r="B19" s="46">
        <f>'Rent Tracker'!B19</f>
        <v>0</v>
      </c>
      <c r="C19" s="73">
        <f>'Rent Tracker'!F19</f>
        <v>0</v>
      </c>
      <c r="D19" s="89">
        <f>'Rent Tracker'!K19</f>
        <v>0</v>
      </c>
      <c r="E19" s="89">
        <f>'Rent Tracker'!M19</f>
        <v>0</v>
      </c>
      <c r="F19" s="89">
        <f>'Rent Tracker'!O19</f>
        <v>0</v>
      </c>
      <c r="G19" s="90">
        <f>'Rent Tracker'!AI19</f>
        <v>0</v>
      </c>
      <c r="H19" s="91">
        <f>'Rent Tracker'!AK19</f>
        <v>0</v>
      </c>
      <c r="I19" s="92" t="str">
        <f>IF(OR('Rent Tracker'!F19=0,'Rent Tracker'!F19=""),"",
IF('Rent Tracker'!AK19&lt;=0,0,
ROUNDUP('Rent Tracker'!AK19/'Rent Tracker'!F19,0)))</f>
        <v/>
      </c>
      <c r="J19" s="93"/>
      <c r="K19" s="93"/>
      <c r="L19" s="94"/>
      <c r="M19" s="95"/>
      <c r="N19" s="15"/>
      <c r="O19" s="15"/>
      <c r="P19" s="15"/>
    </row>
    <row r="20" spans="1:16" ht="24" customHeight="1" x14ac:dyDescent="0.3">
      <c r="A20" s="96">
        <f>'Rent Tracker'!A20</f>
        <v>0</v>
      </c>
      <c r="B20" s="58">
        <f>'Rent Tracker'!B20</f>
        <v>0</v>
      </c>
      <c r="C20" s="53">
        <f>'Rent Tracker'!F20</f>
        <v>0</v>
      </c>
      <c r="D20" s="97">
        <f>'Rent Tracker'!K20</f>
        <v>0</v>
      </c>
      <c r="E20" s="97">
        <f>'Rent Tracker'!M20</f>
        <v>0</v>
      </c>
      <c r="F20" s="97">
        <f>'Rent Tracker'!O20</f>
        <v>0</v>
      </c>
      <c r="G20" s="98">
        <f>'Rent Tracker'!AI20</f>
        <v>0</v>
      </c>
      <c r="H20" s="99">
        <f>'Rent Tracker'!AK20</f>
        <v>0</v>
      </c>
      <c r="I20" s="100" t="str">
        <f>IF(OR('Rent Tracker'!F20=0,'Rent Tracker'!F20=""),"",
IF('Rent Tracker'!AK20&lt;=0,0,
ROUNDUP('Rent Tracker'!AK20/'Rent Tracker'!F20,0)))</f>
        <v/>
      </c>
      <c r="J20" s="101"/>
      <c r="K20" s="101"/>
      <c r="L20" s="102"/>
      <c r="M20" s="103"/>
      <c r="N20" s="15"/>
      <c r="O20" s="15"/>
      <c r="P20" s="15"/>
    </row>
    <row r="21" spans="1:16" ht="24" customHeight="1" x14ac:dyDescent="0.3">
      <c r="A21" s="88">
        <f>'Rent Tracker'!A21</f>
        <v>0</v>
      </c>
      <c r="B21" s="46">
        <f>'Rent Tracker'!B21</f>
        <v>0</v>
      </c>
      <c r="C21" s="73">
        <f>'Rent Tracker'!F21</f>
        <v>0</v>
      </c>
      <c r="D21" s="89">
        <f>'Rent Tracker'!K21</f>
        <v>0</v>
      </c>
      <c r="E21" s="89">
        <f>'Rent Tracker'!M21</f>
        <v>0</v>
      </c>
      <c r="F21" s="89">
        <f>'Rent Tracker'!O21</f>
        <v>0</v>
      </c>
      <c r="G21" s="90">
        <f>'Rent Tracker'!AI21</f>
        <v>0</v>
      </c>
      <c r="H21" s="91">
        <f>'Rent Tracker'!AK21</f>
        <v>0</v>
      </c>
      <c r="I21" s="92" t="str">
        <f>IF(OR('Rent Tracker'!F21=0,'Rent Tracker'!F21=""),"",
IF('Rent Tracker'!AK21&lt;=0,0,
ROUNDUP('Rent Tracker'!AK21/'Rent Tracker'!F21,0)))</f>
        <v/>
      </c>
      <c r="J21" s="93"/>
      <c r="K21" s="93"/>
      <c r="L21" s="94"/>
      <c r="M21" s="95"/>
      <c r="N21" s="15"/>
      <c r="O21" s="15"/>
      <c r="P21" s="15"/>
    </row>
    <row r="22" spans="1:16" ht="24" customHeight="1" x14ac:dyDescent="0.3">
      <c r="A22" s="96">
        <f>'Rent Tracker'!A22</f>
        <v>0</v>
      </c>
      <c r="B22" s="58">
        <f>'Rent Tracker'!B22</f>
        <v>0</v>
      </c>
      <c r="C22" s="53">
        <f>'Rent Tracker'!F22</f>
        <v>0</v>
      </c>
      <c r="D22" s="97">
        <f>'Rent Tracker'!K22</f>
        <v>0</v>
      </c>
      <c r="E22" s="97">
        <f>'Rent Tracker'!M22</f>
        <v>0</v>
      </c>
      <c r="F22" s="97">
        <f>'Rent Tracker'!O22</f>
        <v>0</v>
      </c>
      <c r="G22" s="98">
        <f>'Rent Tracker'!AI22</f>
        <v>0</v>
      </c>
      <c r="H22" s="99">
        <f>'Rent Tracker'!AK22</f>
        <v>0</v>
      </c>
      <c r="I22" s="100" t="str">
        <f>IF(OR('Rent Tracker'!F22=0,'Rent Tracker'!F22=""),"",
IF('Rent Tracker'!AK22&lt;=0,0,
ROUNDUP('Rent Tracker'!AK22/'Rent Tracker'!F22,0)))</f>
        <v/>
      </c>
      <c r="J22" s="101"/>
      <c r="K22" s="101"/>
      <c r="L22" s="102"/>
      <c r="M22" s="103"/>
      <c r="N22" s="15"/>
      <c r="O22" s="15"/>
      <c r="P22" s="15"/>
    </row>
    <row r="23" spans="1:16" ht="24" customHeight="1" x14ac:dyDescent="0.3">
      <c r="A23" s="88">
        <f>'Rent Tracker'!A23</f>
        <v>0</v>
      </c>
      <c r="B23" s="46">
        <f>'Rent Tracker'!B23</f>
        <v>0</v>
      </c>
      <c r="C23" s="73">
        <f>'Rent Tracker'!F23</f>
        <v>0</v>
      </c>
      <c r="D23" s="89">
        <f>'Rent Tracker'!K23</f>
        <v>0</v>
      </c>
      <c r="E23" s="89">
        <f>'Rent Tracker'!M23</f>
        <v>0</v>
      </c>
      <c r="F23" s="89">
        <f>'Rent Tracker'!O23</f>
        <v>0</v>
      </c>
      <c r="G23" s="90">
        <f>'Rent Tracker'!AI23</f>
        <v>0</v>
      </c>
      <c r="H23" s="91">
        <f>'Rent Tracker'!AK23</f>
        <v>0</v>
      </c>
      <c r="I23" s="92" t="str">
        <f>IF(OR('Rent Tracker'!F23=0,'Rent Tracker'!F23=""),"",
IF('Rent Tracker'!AK23&lt;=0,0,
ROUNDUP('Rent Tracker'!AK23/'Rent Tracker'!F23,0)))</f>
        <v/>
      </c>
      <c r="J23" s="93"/>
      <c r="K23" s="93"/>
      <c r="L23" s="94"/>
      <c r="M23" s="95"/>
      <c r="N23" s="15"/>
      <c r="O23" s="15"/>
      <c r="P23" s="15"/>
    </row>
    <row r="24" spans="1:16" ht="24" customHeight="1" x14ac:dyDescent="0.3">
      <c r="A24" s="96">
        <f>'Rent Tracker'!A24</f>
        <v>0</v>
      </c>
      <c r="B24" s="58">
        <f>'Rent Tracker'!B24</f>
        <v>0</v>
      </c>
      <c r="C24" s="53">
        <f>'Rent Tracker'!F24</f>
        <v>0</v>
      </c>
      <c r="D24" s="97">
        <f>'Rent Tracker'!K24</f>
        <v>0</v>
      </c>
      <c r="E24" s="97">
        <f>'Rent Tracker'!M24</f>
        <v>0</v>
      </c>
      <c r="F24" s="97">
        <f>'Rent Tracker'!O24</f>
        <v>0</v>
      </c>
      <c r="G24" s="98">
        <f>'Rent Tracker'!AI24</f>
        <v>0</v>
      </c>
      <c r="H24" s="99">
        <f>'Rent Tracker'!AK24</f>
        <v>0</v>
      </c>
      <c r="I24" s="100" t="str">
        <f>IF(OR('Rent Tracker'!F24=0,'Rent Tracker'!F24=""),"",
IF('Rent Tracker'!AK24&lt;=0,0,
ROUNDUP('Rent Tracker'!AK24/'Rent Tracker'!F24,0)))</f>
        <v/>
      </c>
      <c r="J24" s="101"/>
      <c r="K24" s="101"/>
      <c r="L24" s="102"/>
      <c r="M24" s="103"/>
      <c r="N24" s="15"/>
      <c r="O24" s="15"/>
      <c r="P24" s="15"/>
    </row>
    <row r="25" spans="1:16" ht="24" customHeight="1" x14ac:dyDescent="0.3">
      <c r="A25" s="88">
        <f>'Rent Tracker'!A25</f>
        <v>0</v>
      </c>
      <c r="B25" s="46">
        <f>'Rent Tracker'!B25</f>
        <v>0</v>
      </c>
      <c r="C25" s="73">
        <f>'Rent Tracker'!F25</f>
        <v>0</v>
      </c>
      <c r="D25" s="89">
        <f>'Rent Tracker'!K25</f>
        <v>0</v>
      </c>
      <c r="E25" s="89">
        <f>'Rent Tracker'!M25</f>
        <v>0</v>
      </c>
      <c r="F25" s="89">
        <f>'Rent Tracker'!O25</f>
        <v>0</v>
      </c>
      <c r="G25" s="90">
        <f>'Rent Tracker'!AI25</f>
        <v>0</v>
      </c>
      <c r="H25" s="91">
        <f>'Rent Tracker'!AK25</f>
        <v>0</v>
      </c>
      <c r="I25" s="92" t="str">
        <f>IF(OR('Rent Tracker'!F25=0,'Rent Tracker'!F25=""),"",
IF('Rent Tracker'!AK25&lt;=0,0,
ROUNDUP('Rent Tracker'!AK25/'Rent Tracker'!F25,0)))</f>
        <v/>
      </c>
      <c r="J25" s="93"/>
      <c r="K25" s="93"/>
      <c r="L25" s="94"/>
      <c r="M25" s="95"/>
      <c r="N25" s="15"/>
      <c r="O25" s="15"/>
      <c r="P25" s="15"/>
    </row>
    <row r="26" spans="1:16" ht="24" customHeight="1" x14ac:dyDescent="0.3">
      <c r="A26" s="96">
        <f>'Rent Tracker'!A26</f>
        <v>0</v>
      </c>
      <c r="B26" s="58">
        <f>'Rent Tracker'!B26</f>
        <v>0</v>
      </c>
      <c r="C26" s="53">
        <f>'Rent Tracker'!F26</f>
        <v>0</v>
      </c>
      <c r="D26" s="97">
        <f>'Rent Tracker'!K26</f>
        <v>0</v>
      </c>
      <c r="E26" s="97">
        <f>'Rent Tracker'!M26</f>
        <v>0</v>
      </c>
      <c r="F26" s="97">
        <f>'Rent Tracker'!O26</f>
        <v>0</v>
      </c>
      <c r="G26" s="98">
        <f>'Rent Tracker'!AI26</f>
        <v>0</v>
      </c>
      <c r="H26" s="99">
        <f>'Rent Tracker'!AK26</f>
        <v>0</v>
      </c>
      <c r="I26" s="100" t="str">
        <f>IF(OR('Rent Tracker'!F26=0,'Rent Tracker'!F26=""),"",
IF('Rent Tracker'!AK26&lt;=0,0,
ROUNDUP('Rent Tracker'!AK26/'Rent Tracker'!F26,0)))</f>
        <v/>
      </c>
      <c r="J26" s="101"/>
      <c r="K26" s="101"/>
      <c r="L26" s="102"/>
      <c r="M26" s="103"/>
      <c r="N26" s="15"/>
      <c r="O26" s="15"/>
      <c r="P26" s="15"/>
    </row>
    <row r="27" spans="1:16" ht="24" customHeight="1" x14ac:dyDescent="0.3">
      <c r="A27" s="88">
        <f>'Rent Tracker'!A27</f>
        <v>0</v>
      </c>
      <c r="B27" s="46">
        <f>'Rent Tracker'!B27</f>
        <v>0</v>
      </c>
      <c r="C27" s="73">
        <f>'Rent Tracker'!F27</f>
        <v>0</v>
      </c>
      <c r="D27" s="89">
        <f>'Rent Tracker'!K27</f>
        <v>0</v>
      </c>
      <c r="E27" s="89">
        <f>'Rent Tracker'!M27</f>
        <v>0</v>
      </c>
      <c r="F27" s="89">
        <f>'Rent Tracker'!O27</f>
        <v>0</v>
      </c>
      <c r="G27" s="90">
        <f>'Rent Tracker'!AI27</f>
        <v>0</v>
      </c>
      <c r="H27" s="91">
        <f>'Rent Tracker'!AK27</f>
        <v>0</v>
      </c>
      <c r="I27" s="92" t="str">
        <f>IF(OR('Rent Tracker'!F27=0,'Rent Tracker'!F27=""),"",
IF('Rent Tracker'!AK27&lt;=0,0,
ROUNDUP('Rent Tracker'!AK27/'Rent Tracker'!F27,0)))</f>
        <v/>
      </c>
      <c r="J27" s="93"/>
      <c r="K27" s="93"/>
      <c r="L27" s="94"/>
      <c r="M27" s="95"/>
      <c r="N27" s="15"/>
      <c r="O27" s="15"/>
      <c r="P27" s="15"/>
    </row>
    <row r="28" spans="1:16" ht="24" customHeight="1" x14ac:dyDescent="0.3">
      <c r="A28" s="96">
        <f>'Rent Tracker'!A28</f>
        <v>0</v>
      </c>
      <c r="B28" s="58">
        <f>'Rent Tracker'!B28</f>
        <v>0</v>
      </c>
      <c r="C28" s="53">
        <f>'Rent Tracker'!F28</f>
        <v>0</v>
      </c>
      <c r="D28" s="97">
        <f>'Rent Tracker'!K28</f>
        <v>0</v>
      </c>
      <c r="E28" s="97">
        <f>'Rent Tracker'!M28</f>
        <v>0</v>
      </c>
      <c r="F28" s="97">
        <f>'Rent Tracker'!O28</f>
        <v>0</v>
      </c>
      <c r="G28" s="98">
        <f>'Rent Tracker'!AI28</f>
        <v>0</v>
      </c>
      <c r="H28" s="99">
        <f>'Rent Tracker'!AK28</f>
        <v>0</v>
      </c>
      <c r="I28" s="100" t="str">
        <f>IF(OR('Rent Tracker'!F28=0,'Rent Tracker'!F28=""),"",
IF('Rent Tracker'!AK28&lt;=0,0,
ROUNDUP('Rent Tracker'!AK28/'Rent Tracker'!F28,0)))</f>
        <v/>
      </c>
      <c r="J28" s="101"/>
      <c r="K28" s="101"/>
      <c r="L28" s="102"/>
      <c r="M28" s="103"/>
      <c r="N28" s="15"/>
      <c r="O28" s="15"/>
      <c r="P28" s="15"/>
    </row>
    <row r="29" spans="1:16" ht="24" customHeight="1" x14ac:dyDescent="0.3">
      <c r="A29" s="88">
        <f>'Rent Tracker'!A29</f>
        <v>0</v>
      </c>
      <c r="B29" s="46">
        <f>'Rent Tracker'!B29</f>
        <v>0</v>
      </c>
      <c r="C29" s="73">
        <f>'Rent Tracker'!F29</f>
        <v>0</v>
      </c>
      <c r="D29" s="89">
        <f>'Rent Tracker'!K29</f>
        <v>0</v>
      </c>
      <c r="E29" s="89">
        <f>'Rent Tracker'!M29</f>
        <v>0</v>
      </c>
      <c r="F29" s="89">
        <f>'Rent Tracker'!O29</f>
        <v>0</v>
      </c>
      <c r="G29" s="90">
        <f>'Rent Tracker'!AI29</f>
        <v>0</v>
      </c>
      <c r="H29" s="91">
        <f>'Rent Tracker'!AK29</f>
        <v>0</v>
      </c>
      <c r="I29" s="92" t="str">
        <f>IF(OR('Rent Tracker'!F29=0,'Rent Tracker'!F29=""),"",
IF('Rent Tracker'!AK29&lt;=0,0,
ROUNDUP('Rent Tracker'!AK29/'Rent Tracker'!F29,0)))</f>
        <v/>
      </c>
      <c r="J29" s="93"/>
      <c r="K29" s="93"/>
      <c r="L29" s="94"/>
      <c r="M29" s="95"/>
      <c r="N29" s="15"/>
      <c r="O29" s="15"/>
      <c r="P29" s="15"/>
    </row>
    <row r="30" spans="1:16" ht="24" customHeight="1" x14ac:dyDescent="0.3">
      <c r="A30" s="96">
        <f>'Rent Tracker'!A30</f>
        <v>0</v>
      </c>
      <c r="B30" s="58">
        <f>'Rent Tracker'!B30</f>
        <v>0</v>
      </c>
      <c r="C30" s="53">
        <f>'Rent Tracker'!F30</f>
        <v>0</v>
      </c>
      <c r="D30" s="97">
        <f>'Rent Tracker'!K30</f>
        <v>0</v>
      </c>
      <c r="E30" s="97">
        <f>'Rent Tracker'!M30</f>
        <v>0</v>
      </c>
      <c r="F30" s="97">
        <f>'Rent Tracker'!O30</f>
        <v>0</v>
      </c>
      <c r="G30" s="98">
        <f>'Rent Tracker'!AI30</f>
        <v>0</v>
      </c>
      <c r="H30" s="99">
        <f>'Rent Tracker'!AK30</f>
        <v>0</v>
      </c>
      <c r="I30" s="100" t="str">
        <f>IF(OR('Rent Tracker'!F30=0,'Rent Tracker'!F30=""),"",
IF('Rent Tracker'!AK30&lt;=0,0,
ROUNDUP('Rent Tracker'!AK30/'Rent Tracker'!F30,0)))</f>
        <v/>
      </c>
      <c r="J30" s="101"/>
      <c r="K30" s="101"/>
      <c r="L30" s="102"/>
      <c r="M30" s="103"/>
      <c r="N30" s="15"/>
      <c r="O30" s="15"/>
      <c r="P30" s="15"/>
    </row>
    <row r="31" spans="1:16" ht="24" customHeight="1" x14ac:dyDescent="0.3">
      <c r="A31" s="88">
        <f>'Rent Tracker'!A31</f>
        <v>0</v>
      </c>
      <c r="B31" s="46">
        <f>'Rent Tracker'!B31</f>
        <v>0</v>
      </c>
      <c r="C31" s="73">
        <f>'Rent Tracker'!F31</f>
        <v>0</v>
      </c>
      <c r="D31" s="89">
        <f>'Rent Tracker'!K31</f>
        <v>0</v>
      </c>
      <c r="E31" s="89">
        <f>'Rent Tracker'!M31</f>
        <v>0</v>
      </c>
      <c r="F31" s="89">
        <f>'Rent Tracker'!O31</f>
        <v>0</v>
      </c>
      <c r="G31" s="90">
        <f>'Rent Tracker'!AI31</f>
        <v>0</v>
      </c>
      <c r="H31" s="91">
        <f>'Rent Tracker'!AK31</f>
        <v>0</v>
      </c>
      <c r="I31" s="92" t="str">
        <f>IF(OR('Rent Tracker'!F31=0,'Rent Tracker'!F31=""),"",
IF('Rent Tracker'!AK31&lt;=0,0,
ROUNDUP('Rent Tracker'!AK31/'Rent Tracker'!F31,0)))</f>
        <v/>
      </c>
      <c r="J31" s="93"/>
      <c r="K31" s="93"/>
      <c r="L31" s="94"/>
      <c r="M31" s="95"/>
      <c r="N31" s="15"/>
      <c r="O31" s="15"/>
      <c r="P31" s="15"/>
    </row>
    <row r="32" spans="1:16" ht="24" customHeight="1" x14ac:dyDescent="0.3">
      <c r="A32" s="96">
        <f>'Rent Tracker'!A32</f>
        <v>0</v>
      </c>
      <c r="B32" s="58">
        <f>'Rent Tracker'!B32</f>
        <v>0</v>
      </c>
      <c r="C32" s="53">
        <f>'Rent Tracker'!F32</f>
        <v>0</v>
      </c>
      <c r="D32" s="97">
        <f>'Rent Tracker'!K32</f>
        <v>0</v>
      </c>
      <c r="E32" s="97">
        <f>'Rent Tracker'!M32</f>
        <v>0</v>
      </c>
      <c r="F32" s="97">
        <f>'Rent Tracker'!O32</f>
        <v>0</v>
      </c>
      <c r="G32" s="98">
        <f>'Rent Tracker'!AI32</f>
        <v>0</v>
      </c>
      <c r="H32" s="99">
        <f>'Rent Tracker'!AK32</f>
        <v>0</v>
      </c>
      <c r="I32" s="100" t="str">
        <f>IF(OR('Rent Tracker'!F32=0,'Rent Tracker'!F32=""),"",
IF('Rent Tracker'!AK32&lt;=0,0,
ROUNDUP('Rent Tracker'!AK32/'Rent Tracker'!F32,0)))</f>
        <v/>
      </c>
      <c r="J32" s="101"/>
      <c r="K32" s="101"/>
      <c r="L32" s="102"/>
      <c r="M32" s="103"/>
      <c r="N32" s="15"/>
      <c r="O32" s="15"/>
      <c r="P32" s="15"/>
    </row>
    <row r="33" spans="1:16" ht="1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ht="27.75" customHeight="1" x14ac:dyDescent="0.3">
      <c r="A34" s="81" t="s">
        <v>100</v>
      </c>
      <c r="B34" s="82"/>
      <c r="C34" s="82"/>
      <c r="D34" s="82"/>
      <c r="E34" s="82"/>
      <c r="F34" s="82"/>
      <c r="G34" s="104">
        <f>SUM(G3:G32)</f>
        <v>322000</v>
      </c>
      <c r="H34" s="105">
        <f>SUM(H3:H32)</f>
        <v>50000</v>
      </c>
      <c r="I34" s="82"/>
      <c r="J34" s="82"/>
      <c r="K34" s="82"/>
      <c r="L34" s="82"/>
      <c r="M34" s="82"/>
      <c r="N34" s="15"/>
      <c r="O34" s="15"/>
      <c r="P34" s="15"/>
    </row>
    <row r="35" spans="1:16" ht="1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ht="1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ht="1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ht="1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ht="1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</sheetData>
  <mergeCells count="1">
    <mergeCell ref="A1:P1"/>
  </mergeCells>
  <conditionalFormatting sqref="D3:F32">
    <cfRule type="expression" dxfId="14" priority="2">
      <formula>D3&gt;0</formula>
    </cfRule>
    <cfRule type="expression" dxfId="13" priority="3">
      <formula>AND(D3&lt;=0,D3&lt;&gt;"")</formula>
    </cfRule>
    <cfRule type="expression" dxfId="12" priority="4">
      <formula>D3&lt;0</formula>
    </cfRule>
  </conditionalFormatting>
  <conditionalFormatting sqref="H3:H32">
    <cfRule type="expression" dxfId="11" priority="11">
      <formula>H3&gt;0</formula>
    </cfRule>
    <cfRule type="expression" dxfId="10" priority="12">
      <formula>AND(H3&lt;=0,H3&lt;&gt;"")</formula>
    </cfRule>
    <cfRule type="expression" dxfId="9" priority="13">
      <formula>H3&lt;0</formula>
    </cfRule>
  </conditionalFormatting>
  <conditionalFormatting sqref="I3:I32">
    <cfRule type="expression" dxfId="8" priority="14">
      <formula>I3&gt;=2</formula>
    </cfRule>
    <cfRule type="expression" dxfId="7" priority="15">
      <formula>I3=1</formula>
    </cfRule>
    <cfRule type="expression" dxfId="6" priority="16">
      <formula>I3=0</formula>
    </cfRule>
  </conditionalFormatting>
  <dataValidations count="1">
    <dataValidation type="list" sqref="L3:L32" xr:uid="{00000000-0002-0000-0200-000000000000}">
      <formula1>"Pending,Notice Issued,Payment Plan,Legal,Resolved,Write Off"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59B6"/>
  </sheetPr>
  <dimension ref="A1:L40"/>
  <sheetViews>
    <sheetView showGridLines="0" zoomScaleNormal="100" workbookViewId="0">
      <pane ySplit="2" topLeftCell="A7" activePane="bottomLeft" state="frozen"/>
      <selection pane="bottomLeft" activeCell="F4" sqref="F4"/>
    </sheetView>
  </sheetViews>
  <sheetFormatPr defaultColWidth="8.6640625" defaultRowHeight="14.4" x14ac:dyDescent="0.3"/>
  <cols>
    <col min="1" max="1" width="11" customWidth="1"/>
    <col min="2" max="2" width="22" customWidth="1"/>
    <col min="3" max="3" width="18" customWidth="1"/>
    <col min="4" max="4" width="14" customWidth="1"/>
    <col min="5" max="5" width="24" customWidth="1"/>
    <col min="6" max="6" width="16" customWidth="1"/>
    <col min="7" max="7" width="24" customWidth="1"/>
    <col min="8" max="10" width="16" customWidth="1"/>
    <col min="11" max="12" width="14" customWidth="1"/>
  </cols>
  <sheetData>
    <row r="1" spans="1:12" ht="36" customHeight="1" x14ac:dyDescent="0.3">
      <c r="A1" s="131" t="s">
        <v>110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 ht="27.75" customHeight="1" x14ac:dyDescent="0.3">
      <c r="A2" s="106" t="s">
        <v>10</v>
      </c>
      <c r="B2" s="106" t="s">
        <v>11</v>
      </c>
      <c r="C2" s="106" t="s">
        <v>111</v>
      </c>
      <c r="D2" s="106" t="s">
        <v>112</v>
      </c>
      <c r="E2" s="106" t="s">
        <v>113</v>
      </c>
      <c r="F2" s="106" t="s">
        <v>114</v>
      </c>
      <c r="G2" s="106" t="s">
        <v>115</v>
      </c>
      <c r="H2" s="106" t="s">
        <v>116</v>
      </c>
      <c r="I2" s="106" t="s">
        <v>117</v>
      </c>
      <c r="J2" s="106" t="s">
        <v>118</v>
      </c>
      <c r="K2" s="106" t="s">
        <v>119</v>
      </c>
      <c r="L2" s="106" t="s">
        <v>19</v>
      </c>
    </row>
    <row r="3" spans="1:12" ht="24" customHeight="1" x14ac:dyDescent="0.3">
      <c r="A3" s="44" t="s">
        <v>72</v>
      </c>
      <c r="B3" s="107" t="s">
        <v>73</v>
      </c>
      <c r="C3" s="48">
        <v>7000</v>
      </c>
      <c r="D3" s="93"/>
      <c r="E3" s="46"/>
      <c r="F3" s="48"/>
      <c r="G3" s="46"/>
      <c r="H3" s="48"/>
      <c r="I3" s="108" t="str">
        <f t="shared" ref="I3:I32" si="0">IF(AND(F3="",H3=""),"",IF(F3="",0,F3)+IF(H3="",0,H3))</f>
        <v/>
      </c>
      <c r="J3" s="72">
        <f t="shared" ref="J3:J32" si="1">IF(C3="","",C3-IF(I3="",0,I3))</f>
        <v>7000</v>
      </c>
      <c r="K3" s="93"/>
      <c r="L3" s="109" t="s">
        <v>120</v>
      </c>
    </row>
    <row r="4" spans="1:12" ht="24" customHeight="1" x14ac:dyDescent="0.3">
      <c r="A4" s="56" t="s">
        <v>75</v>
      </c>
      <c r="B4" s="110" t="s">
        <v>76</v>
      </c>
      <c r="C4" s="59">
        <v>8000</v>
      </c>
      <c r="D4" s="101"/>
      <c r="E4" s="58"/>
      <c r="F4" s="59"/>
      <c r="G4" s="58"/>
      <c r="H4" s="59"/>
      <c r="I4" s="111" t="str">
        <f t="shared" si="0"/>
        <v/>
      </c>
      <c r="J4" s="52">
        <f t="shared" si="1"/>
        <v>8000</v>
      </c>
      <c r="K4" s="101"/>
      <c r="L4" s="112" t="s">
        <v>120</v>
      </c>
    </row>
    <row r="5" spans="1:12" ht="24" customHeight="1" x14ac:dyDescent="0.3">
      <c r="A5" s="44" t="s">
        <v>77</v>
      </c>
      <c r="B5" s="107" t="s">
        <v>78</v>
      </c>
      <c r="C5" s="48">
        <v>8000</v>
      </c>
      <c r="D5" s="93"/>
      <c r="E5" s="46"/>
      <c r="F5" s="48"/>
      <c r="G5" s="46"/>
      <c r="H5" s="48"/>
      <c r="I5" s="108" t="str">
        <f t="shared" si="0"/>
        <v/>
      </c>
      <c r="J5" s="72">
        <f t="shared" si="1"/>
        <v>8000</v>
      </c>
      <c r="K5" s="93"/>
      <c r="L5" s="109" t="s">
        <v>120</v>
      </c>
    </row>
    <row r="6" spans="1:12" ht="24" customHeight="1" x14ac:dyDescent="0.3">
      <c r="A6" s="56" t="s">
        <v>79</v>
      </c>
      <c r="B6" s="110" t="s">
        <v>80</v>
      </c>
      <c r="C6" s="59">
        <v>8000</v>
      </c>
      <c r="D6" s="101"/>
      <c r="E6" s="58"/>
      <c r="F6" s="59"/>
      <c r="G6" s="58"/>
      <c r="H6" s="59"/>
      <c r="I6" s="111" t="str">
        <f t="shared" si="0"/>
        <v/>
      </c>
      <c r="J6" s="52">
        <f t="shared" si="1"/>
        <v>8000</v>
      </c>
      <c r="K6" s="101"/>
      <c r="L6" s="112" t="s">
        <v>120</v>
      </c>
    </row>
    <row r="7" spans="1:12" ht="24" customHeight="1" x14ac:dyDescent="0.3">
      <c r="A7" s="44" t="s">
        <v>81</v>
      </c>
      <c r="B7" s="107" t="s">
        <v>82</v>
      </c>
      <c r="C7" s="48">
        <v>8000</v>
      </c>
      <c r="D7" s="93"/>
      <c r="E7" s="46"/>
      <c r="F7" s="48"/>
      <c r="G7" s="46"/>
      <c r="H7" s="48"/>
      <c r="I7" s="108" t="str">
        <f t="shared" si="0"/>
        <v/>
      </c>
      <c r="J7" s="72">
        <f t="shared" si="1"/>
        <v>8000</v>
      </c>
      <c r="K7" s="93"/>
      <c r="L7" s="109" t="s">
        <v>120</v>
      </c>
    </row>
    <row r="8" spans="1:12" ht="24" customHeight="1" x14ac:dyDescent="0.3">
      <c r="A8" s="56" t="s">
        <v>83</v>
      </c>
      <c r="B8" s="110" t="s">
        <v>84</v>
      </c>
      <c r="C8" s="59">
        <v>8000</v>
      </c>
      <c r="D8" s="101"/>
      <c r="E8" s="58"/>
      <c r="F8" s="59"/>
      <c r="G8" s="58"/>
      <c r="H8" s="59"/>
      <c r="I8" s="111" t="str">
        <f t="shared" si="0"/>
        <v/>
      </c>
      <c r="J8" s="52">
        <f t="shared" si="1"/>
        <v>8000</v>
      </c>
      <c r="K8" s="101"/>
      <c r="L8" s="112" t="s">
        <v>120</v>
      </c>
    </row>
    <row r="9" spans="1:12" ht="24" customHeight="1" x14ac:dyDescent="0.3">
      <c r="A9" s="44" t="s">
        <v>85</v>
      </c>
      <c r="B9" s="107" t="s">
        <v>86</v>
      </c>
      <c r="C9" s="48">
        <v>5500</v>
      </c>
      <c r="D9" s="93"/>
      <c r="E9" s="46"/>
      <c r="F9" s="48"/>
      <c r="G9" s="46"/>
      <c r="H9" s="48"/>
      <c r="I9" s="108" t="str">
        <f t="shared" si="0"/>
        <v/>
      </c>
      <c r="J9" s="72">
        <f t="shared" si="1"/>
        <v>5500</v>
      </c>
      <c r="K9" s="93"/>
      <c r="L9" s="109" t="s">
        <v>120</v>
      </c>
    </row>
    <row r="10" spans="1:12" ht="24" customHeight="1" x14ac:dyDescent="0.3">
      <c r="A10" s="56" t="s">
        <v>88</v>
      </c>
      <c r="B10" s="110" t="s">
        <v>89</v>
      </c>
      <c r="C10" s="59">
        <v>5500</v>
      </c>
      <c r="D10" s="101"/>
      <c r="E10" s="58"/>
      <c r="F10" s="59"/>
      <c r="G10" s="58"/>
      <c r="H10" s="59"/>
      <c r="I10" s="111" t="str">
        <f t="shared" si="0"/>
        <v/>
      </c>
      <c r="J10" s="52">
        <f t="shared" si="1"/>
        <v>5500</v>
      </c>
      <c r="K10" s="101"/>
      <c r="L10" s="112" t="s">
        <v>120</v>
      </c>
    </row>
    <row r="11" spans="1:12" ht="24" customHeight="1" x14ac:dyDescent="0.3">
      <c r="A11" s="46"/>
      <c r="B11" s="46"/>
      <c r="C11" s="46"/>
      <c r="D11" s="93"/>
      <c r="E11" s="46"/>
      <c r="F11" s="48"/>
      <c r="G11" s="46"/>
      <c r="H11" s="48"/>
      <c r="I11" s="108" t="str">
        <f t="shared" si="0"/>
        <v/>
      </c>
      <c r="J11" s="72" t="str">
        <f t="shared" si="1"/>
        <v/>
      </c>
      <c r="K11" s="93"/>
      <c r="L11" s="46"/>
    </row>
    <row r="12" spans="1:12" ht="24" customHeight="1" x14ac:dyDescent="0.3">
      <c r="A12" s="56" t="s">
        <v>92</v>
      </c>
      <c r="B12" s="110" t="s">
        <v>93</v>
      </c>
      <c r="C12" s="59">
        <v>5500</v>
      </c>
      <c r="D12" s="101"/>
      <c r="E12" s="58"/>
      <c r="F12" s="59"/>
      <c r="G12" s="58"/>
      <c r="H12" s="59"/>
      <c r="I12" s="111" t="str">
        <f t="shared" si="0"/>
        <v/>
      </c>
      <c r="J12" s="52">
        <f t="shared" si="1"/>
        <v>5500</v>
      </c>
      <c r="K12" s="101"/>
      <c r="L12" s="112" t="s">
        <v>120</v>
      </c>
    </row>
    <row r="13" spans="1:12" ht="24" customHeight="1" x14ac:dyDescent="0.3">
      <c r="A13" s="44" t="s">
        <v>94</v>
      </c>
      <c r="B13" s="107" t="s">
        <v>95</v>
      </c>
      <c r="C13" s="48">
        <v>5500</v>
      </c>
      <c r="D13" s="93"/>
      <c r="E13" s="46"/>
      <c r="F13" s="48"/>
      <c r="G13" s="46"/>
      <c r="H13" s="48"/>
      <c r="I13" s="108" t="str">
        <f t="shared" si="0"/>
        <v/>
      </c>
      <c r="J13" s="72">
        <f t="shared" si="1"/>
        <v>5500</v>
      </c>
      <c r="K13" s="93"/>
      <c r="L13" s="109" t="s">
        <v>120</v>
      </c>
    </row>
    <row r="14" spans="1:12" ht="24" customHeight="1" x14ac:dyDescent="0.3">
      <c r="A14" s="58"/>
      <c r="B14" s="58"/>
      <c r="C14" s="58"/>
      <c r="D14" s="101"/>
      <c r="E14" s="58"/>
      <c r="F14" s="59"/>
      <c r="G14" s="58"/>
      <c r="H14" s="59"/>
      <c r="I14" s="111" t="str">
        <f t="shared" si="0"/>
        <v/>
      </c>
      <c r="J14" s="52" t="str">
        <f t="shared" si="1"/>
        <v/>
      </c>
      <c r="K14" s="101"/>
      <c r="L14" s="58"/>
    </row>
    <row r="15" spans="1:12" ht="24" customHeight="1" x14ac:dyDescent="0.3">
      <c r="A15" s="46"/>
      <c r="B15" s="46"/>
      <c r="C15" s="46"/>
      <c r="D15" s="93"/>
      <c r="E15" s="46"/>
      <c r="F15" s="48"/>
      <c r="G15" s="46"/>
      <c r="H15" s="48"/>
      <c r="I15" s="108" t="str">
        <f t="shared" si="0"/>
        <v/>
      </c>
      <c r="J15" s="72" t="str">
        <f t="shared" si="1"/>
        <v/>
      </c>
      <c r="K15" s="93"/>
      <c r="L15" s="46"/>
    </row>
    <row r="16" spans="1:12" ht="24" customHeight="1" x14ac:dyDescent="0.3">
      <c r="A16" s="56" t="s">
        <v>98</v>
      </c>
      <c r="B16" s="110" t="s">
        <v>99</v>
      </c>
      <c r="C16" s="59">
        <v>5500</v>
      </c>
      <c r="D16" s="101"/>
      <c r="E16" s="58"/>
      <c r="F16" s="59"/>
      <c r="G16" s="58"/>
      <c r="H16" s="59"/>
      <c r="I16" s="111" t="str">
        <f t="shared" si="0"/>
        <v/>
      </c>
      <c r="J16" s="52">
        <f t="shared" si="1"/>
        <v>5500</v>
      </c>
      <c r="K16" s="101"/>
      <c r="L16" s="112" t="s">
        <v>120</v>
      </c>
    </row>
    <row r="17" spans="1:12" ht="24" customHeight="1" x14ac:dyDescent="0.3">
      <c r="A17" s="44"/>
      <c r="B17" s="107"/>
      <c r="C17" s="46"/>
      <c r="D17" s="93"/>
      <c r="E17" s="46"/>
      <c r="F17" s="48"/>
      <c r="G17" s="46"/>
      <c r="H17" s="48"/>
      <c r="I17" s="108" t="str">
        <f t="shared" si="0"/>
        <v/>
      </c>
      <c r="J17" s="72" t="str">
        <f t="shared" si="1"/>
        <v/>
      </c>
      <c r="K17" s="93"/>
      <c r="L17" s="109" t="s">
        <v>120</v>
      </c>
    </row>
    <row r="18" spans="1:12" ht="24" customHeight="1" x14ac:dyDescent="0.3">
      <c r="A18" s="56"/>
      <c r="B18" s="110"/>
      <c r="C18" s="58"/>
      <c r="D18" s="101"/>
      <c r="E18" s="58"/>
      <c r="F18" s="59"/>
      <c r="G18" s="58"/>
      <c r="H18" s="59"/>
      <c r="I18" s="111" t="str">
        <f t="shared" si="0"/>
        <v/>
      </c>
      <c r="J18" s="52" t="str">
        <f t="shared" si="1"/>
        <v/>
      </c>
      <c r="K18" s="101"/>
      <c r="L18" s="112" t="s">
        <v>120</v>
      </c>
    </row>
    <row r="19" spans="1:12" ht="24" customHeight="1" x14ac:dyDescent="0.3">
      <c r="A19" s="44"/>
      <c r="B19" s="107"/>
      <c r="C19" s="46"/>
      <c r="D19" s="93"/>
      <c r="E19" s="46"/>
      <c r="F19" s="48"/>
      <c r="G19" s="46"/>
      <c r="H19" s="48"/>
      <c r="I19" s="108" t="str">
        <f t="shared" si="0"/>
        <v/>
      </c>
      <c r="J19" s="72" t="str">
        <f t="shared" si="1"/>
        <v/>
      </c>
      <c r="K19" s="93"/>
      <c r="L19" s="109" t="s">
        <v>120</v>
      </c>
    </row>
    <row r="20" spans="1:12" ht="24" customHeight="1" x14ac:dyDescent="0.3">
      <c r="A20" s="56"/>
      <c r="B20" s="110"/>
      <c r="C20" s="58"/>
      <c r="D20" s="101"/>
      <c r="E20" s="58"/>
      <c r="F20" s="59"/>
      <c r="G20" s="58"/>
      <c r="H20" s="59"/>
      <c r="I20" s="111" t="str">
        <f t="shared" si="0"/>
        <v/>
      </c>
      <c r="J20" s="52" t="str">
        <f t="shared" si="1"/>
        <v/>
      </c>
      <c r="K20" s="101"/>
      <c r="L20" s="112" t="s">
        <v>120</v>
      </c>
    </row>
    <row r="21" spans="1:12" ht="24" customHeight="1" x14ac:dyDescent="0.3">
      <c r="A21" s="44"/>
      <c r="B21" s="107"/>
      <c r="C21" s="46"/>
      <c r="D21" s="93"/>
      <c r="E21" s="46"/>
      <c r="F21" s="48"/>
      <c r="G21" s="46"/>
      <c r="H21" s="48"/>
      <c r="I21" s="108" t="str">
        <f t="shared" si="0"/>
        <v/>
      </c>
      <c r="J21" s="72" t="str">
        <f t="shared" si="1"/>
        <v/>
      </c>
      <c r="K21" s="93"/>
      <c r="L21" s="109" t="s">
        <v>120</v>
      </c>
    </row>
    <row r="22" spans="1:12" ht="24" customHeight="1" x14ac:dyDescent="0.3">
      <c r="A22" s="56"/>
      <c r="B22" s="110"/>
      <c r="C22" s="58"/>
      <c r="D22" s="101"/>
      <c r="E22" s="58"/>
      <c r="F22" s="59"/>
      <c r="G22" s="58"/>
      <c r="H22" s="59"/>
      <c r="I22" s="111" t="str">
        <f t="shared" si="0"/>
        <v/>
      </c>
      <c r="J22" s="52" t="str">
        <f t="shared" si="1"/>
        <v/>
      </c>
      <c r="K22" s="101"/>
      <c r="L22" s="112" t="s">
        <v>120</v>
      </c>
    </row>
    <row r="23" spans="1:12" ht="24" customHeight="1" x14ac:dyDescent="0.3">
      <c r="A23" s="44"/>
      <c r="B23" s="107"/>
      <c r="C23" s="46"/>
      <c r="D23" s="93"/>
      <c r="E23" s="46"/>
      <c r="F23" s="48"/>
      <c r="G23" s="46"/>
      <c r="H23" s="48"/>
      <c r="I23" s="108" t="str">
        <f t="shared" si="0"/>
        <v/>
      </c>
      <c r="J23" s="72" t="str">
        <f t="shared" si="1"/>
        <v/>
      </c>
      <c r="K23" s="93"/>
      <c r="L23" s="109" t="s">
        <v>120</v>
      </c>
    </row>
    <row r="24" spans="1:12" ht="24" customHeight="1" x14ac:dyDescent="0.3">
      <c r="A24" s="56"/>
      <c r="B24" s="110"/>
      <c r="C24" s="58"/>
      <c r="D24" s="101"/>
      <c r="E24" s="58"/>
      <c r="F24" s="59"/>
      <c r="G24" s="58"/>
      <c r="H24" s="59"/>
      <c r="I24" s="111" t="str">
        <f t="shared" si="0"/>
        <v/>
      </c>
      <c r="J24" s="52" t="str">
        <f t="shared" si="1"/>
        <v/>
      </c>
      <c r="K24" s="101"/>
      <c r="L24" s="112" t="s">
        <v>120</v>
      </c>
    </row>
    <row r="25" spans="1:12" ht="24" customHeight="1" x14ac:dyDescent="0.3">
      <c r="A25" s="44"/>
      <c r="B25" s="107"/>
      <c r="C25" s="46"/>
      <c r="D25" s="93"/>
      <c r="E25" s="46"/>
      <c r="F25" s="48"/>
      <c r="G25" s="46"/>
      <c r="H25" s="48"/>
      <c r="I25" s="108" t="str">
        <f t="shared" si="0"/>
        <v/>
      </c>
      <c r="J25" s="72" t="str">
        <f t="shared" si="1"/>
        <v/>
      </c>
      <c r="K25" s="93"/>
      <c r="L25" s="109" t="s">
        <v>120</v>
      </c>
    </row>
    <row r="26" spans="1:12" ht="24" customHeight="1" x14ac:dyDescent="0.3">
      <c r="A26" s="56"/>
      <c r="B26" s="110"/>
      <c r="C26" s="58"/>
      <c r="D26" s="101"/>
      <c r="E26" s="58"/>
      <c r="F26" s="59"/>
      <c r="G26" s="58"/>
      <c r="H26" s="59"/>
      <c r="I26" s="111" t="str">
        <f t="shared" si="0"/>
        <v/>
      </c>
      <c r="J26" s="52" t="str">
        <f t="shared" si="1"/>
        <v/>
      </c>
      <c r="K26" s="101"/>
      <c r="L26" s="112" t="s">
        <v>120</v>
      </c>
    </row>
    <row r="27" spans="1:12" ht="24" customHeight="1" x14ac:dyDescent="0.3">
      <c r="A27" s="44"/>
      <c r="B27" s="107"/>
      <c r="C27" s="46"/>
      <c r="D27" s="93"/>
      <c r="E27" s="46"/>
      <c r="F27" s="48"/>
      <c r="G27" s="46"/>
      <c r="H27" s="48"/>
      <c r="I27" s="108" t="str">
        <f t="shared" si="0"/>
        <v/>
      </c>
      <c r="J27" s="72" t="str">
        <f t="shared" si="1"/>
        <v/>
      </c>
      <c r="K27" s="93"/>
      <c r="L27" s="109" t="s">
        <v>120</v>
      </c>
    </row>
    <row r="28" spans="1:12" ht="24" customHeight="1" x14ac:dyDescent="0.3">
      <c r="A28" s="56"/>
      <c r="B28" s="110"/>
      <c r="C28" s="58"/>
      <c r="D28" s="101"/>
      <c r="E28" s="58"/>
      <c r="F28" s="59"/>
      <c r="G28" s="58"/>
      <c r="H28" s="59"/>
      <c r="I28" s="111" t="str">
        <f t="shared" si="0"/>
        <v/>
      </c>
      <c r="J28" s="52" t="str">
        <f t="shared" si="1"/>
        <v/>
      </c>
      <c r="K28" s="101"/>
      <c r="L28" s="112" t="s">
        <v>120</v>
      </c>
    </row>
    <row r="29" spans="1:12" ht="24" customHeight="1" x14ac:dyDescent="0.3">
      <c r="A29" s="44"/>
      <c r="B29" s="107"/>
      <c r="C29" s="46"/>
      <c r="D29" s="93"/>
      <c r="E29" s="46"/>
      <c r="F29" s="48"/>
      <c r="G29" s="46"/>
      <c r="H29" s="48"/>
      <c r="I29" s="108" t="str">
        <f t="shared" si="0"/>
        <v/>
      </c>
      <c r="J29" s="72" t="str">
        <f t="shared" si="1"/>
        <v/>
      </c>
      <c r="K29" s="93"/>
      <c r="L29" s="109" t="s">
        <v>120</v>
      </c>
    </row>
    <row r="30" spans="1:12" ht="24" customHeight="1" x14ac:dyDescent="0.3">
      <c r="A30" s="56"/>
      <c r="B30" s="110"/>
      <c r="C30" s="58"/>
      <c r="D30" s="101"/>
      <c r="E30" s="58"/>
      <c r="F30" s="59"/>
      <c r="G30" s="58"/>
      <c r="H30" s="59"/>
      <c r="I30" s="111" t="str">
        <f t="shared" si="0"/>
        <v/>
      </c>
      <c r="J30" s="52" t="str">
        <f t="shared" si="1"/>
        <v/>
      </c>
      <c r="K30" s="101"/>
      <c r="L30" s="112" t="s">
        <v>120</v>
      </c>
    </row>
    <row r="31" spans="1:12" ht="24" customHeight="1" x14ac:dyDescent="0.3">
      <c r="A31" s="44"/>
      <c r="B31" s="107"/>
      <c r="C31" s="46"/>
      <c r="D31" s="93"/>
      <c r="E31" s="46"/>
      <c r="F31" s="48"/>
      <c r="G31" s="46"/>
      <c r="H31" s="48"/>
      <c r="I31" s="108" t="str">
        <f t="shared" si="0"/>
        <v/>
      </c>
      <c r="J31" s="72" t="str">
        <f t="shared" si="1"/>
        <v/>
      </c>
      <c r="K31" s="93"/>
      <c r="L31" s="109" t="s">
        <v>120</v>
      </c>
    </row>
    <row r="32" spans="1:12" ht="24" customHeight="1" x14ac:dyDescent="0.3">
      <c r="A32" s="56"/>
      <c r="B32" s="110"/>
      <c r="C32" s="58"/>
      <c r="D32" s="101"/>
      <c r="E32" s="58"/>
      <c r="F32" s="59"/>
      <c r="G32" s="58"/>
      <c r="H32" s="59"/>
      <c r="I32" s="111" t="str">
        <f t="shared" si="0"/>
        <v/>
      </c>
      <c r="J32" s="52" t="str">
        <f t="shared" si="1"/>
        <v/>
      </c>
      <c r="K32" s="101"/>
      <c r="L32" s="112" t="s">
        <v>120</v>
      </c>
    </row>
    <row r="33" spans="1:12" ht="1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15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1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1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1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</sheetData>
  <mergeCells count="1">
    <mergeCell ref="A1:L1"/>
  </mergeCells>
  <dataValidations count="2">
    <dataValidation type="list" sqref="L3:L33" xr:uid="{00000000-0002-0000-0300-000000000000}">
      <formula1>"Held,Partial Refund,Full Refund,Forfeited"</formula1>
      <formula2>0</formula2>
    </dataValidation>
    <dataValidation type="date" showInputMessage="1" promptTitle="Date" prompt="DD/MM/YYYY" sqref="D3:D33 K3:K33" xr:uid="{00000000-0002-0000-0300-000001000000}">
      <formula1>DATE(2000,1,1)</formula1>
      <formula2>DATE(2100,12,31)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39C12"/>
  </sheetPr>
  <dimension ref="A1:N510"/>
  <sheetViews>
    <sheetView showGridLines="0" zoomScaleNormal="100" workbookViewId="0">
      <pane ySplit="2" topLeftCell="A3" activePane="bottomLeft" state="frozen"/>
      <selection pane="bottomLeft" activeCell="M3" sqref="M3"/>
    </sheetView>
  </sheetViews>
  <sheetFormatPr defaultColWidth="8.6640625" defaultRowHeight="14.4" x14ac:dyDescent="0.3"/>
  <cols>
    <col min="1" max="1" width="7" customWidth="1"/>
    <col min="2" max="2" width="13" customWidth="1"/>
    <col min="3" max="3" width="12" customWidth="1"/>
    <col min="4" max="4" width="32" customWidth="1"/>
    <col min="5" max="5" width="16" customWidth="1"/>
    <col min="6" max="6" width="10" customWidth="1"/>
    <col min="7" max="7" width="20" customWidth="1"/>
    <col min="8" max="8" width="13" customWidth="1"/>
    <col min="9" max="9" width="14" customWidth="1"/>
    <col min="10" max="10" width="10" customWidth="1"/>
    <col min="11" max="11" width="16" customWidth="1"/>
    <col min="12" max="12" width="14" customWidth="1"/>
    <col min="13" max="13" width="10" customWidth="1"/>
    <col min="14" max="14" width="28" customWidth="1"/>
  </cols>
  <sheetData>
    <row r="1" spans="1:14" ht="36" customHeight="1" x14ac:dyDescent="0.3">
      <c r="A1" s="132" t="s">
        <v>121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27.75" customHeight="1" x14ac:dyDescent="0.3">
      <c r="A2" s="113" t="s">
        <v>122</v>
      </c>
      <c r="B2" s="113" t="s">
        <v>123</v>
      </c>
      <c r="C2" s="113" t="s">
        <v>39</v>
      </c>
      <c r="D2" s="113" t="s">
        <v>124</v>
      </c>
      <c r="E2" s="113" t="s">
        <v>125</v>
      </c>
      <c r="F2" s="113" t="s">
        <v>126</v>
      </c>
      <c r="G2" s="113" t="s">
        <v>127</v>
      </c>
      <c r="H2" s="113" t="s">
        <v>128</v>
      </c>
      <c r="I2" s="113" t="s">
        <v>129</v>
      </c>
      <c r="J2" s="113" t="s">
        <v>130</v>
      </c>
      <c r="K2" s="113" t="s">
        <v>131</v>
      </c>
      <c r="L2" s="113" t="s">
        <v>19</v>
      </c>
      <c r="M2" s="113" t="s">
        <v>21</v>
      </c>
      <c r="N2" s="113" t="s">
        <v>71</v>
      </c>
    </row>
    <row r="3" spans="1:14" ht="21.75" customHeight="1" x14ac:dyDescent="0.3">
      <c r="A3" s="114">
        <v>1</v>
      </c>
      <c r="B3" s="93"/>
      <c r="C3" s="46">
        <v>1</v>
      </c>
      <c r="D3" s="46"/>
      <c r="E3" s="46" t="s">
        <v>190</v>
      </c>
      <c r="F3" s="47" t="s">
        <v>188</v>
      </c>
      <c r="G3" s="46"/>
      <c r="H3" s="93"/>
      <c r="I3" s="89">
        <v>2000</v>
      </c>
      <c r="J3" s="47" t="s">
        <v>189</v>
      </c>
      <c r="K3" s="47" t="s">
        <v>189</v>
      </c>
      <c r="L3" s="47" t="s">
        <v>191</v>
      </c>
      <c r="M3" s="47" t="s">
        <v>28</v>
      </c>
      <c r="N3" s="46"/>
    </row>
    <row r="4" spans="1:14" ht="21.75" customHeight="1" x14ac:dyDescent="0.3">
      <c r="A4" s="115" t="str">
        <f t="shared" ref="A3:A66" si="0">IF(B4="","",ROW()-2)</f>
        <v/>
      </c>
      <c r="B4" s="101"/>
      <c r="C4" s="58"/>
      <c r="D4" s="58"/>
      <c r="E4" s="58"/>
      <c r="F4" s="54"/>
      <c r="G4" s="58"/>
      <c r="H4" s="101"/>
      <c r="I4" s="97"/>
      <c r="J4" s="54"/>
      <c r="K4" s="54"/>
      <c r="L4" s="54"/>
      <c r="M4" s="54"/>
      <c r="N4" s="58"/>
    </row>
    <row r="5" spans="1:14" ht="21.75" customHeight="1" x14ac:dyDescent="0.3">
      <c r="A5" s="114" t="str">
        <f t="shared" si="0"/>
        <v/>
      </c>
      <c r="B5" s="93"/>
      <c r="C5" s="46"/>
      <c r="D5" s="46"/>
      <c r="E5" s="46"/>
      <c r="F5" s="47"/>
      <c r="G5" s="46"/>
      <c r="H5" s="93"/>
      <c r="I5" s="89"/>
      <c r="J5" s="47"/>
      <c r="K5" s="47"/>
      <c r="L5" s="47"/>
      <c r="M5" s="47"/>
      <c r="N5" s="46"/>
    </row>
    <row r="6" spans="1:14" ht="21.75" customHeight="1" x14ac:dyDescent="0.3">
      <c r="A6" s="115" t="str">
        <f t="shared" si="0"/>
        <v/>
      </c>
      <c r="B6" s="101"/>
      <c r="C6" s="58"/>
      <c r="D6" s="58"/>
      <c r="E6" s="58"/>
      <c r="F6" s="54"/>
      <c r="G6" s="58"/>
      <c r="H6" s="101"/>
      <c r="I6" s="97"/>
      <c r="J6" s="54"/>
      <c r="K6" s="54"/>
      <c r="L6" s="54"/>
      <c r="M6" s="54"/>
      <c r="N6" s="58"/>
    </row>
    <row r="7" spans="1:14" ht="21.75" customHeight="1" x14ac:dyDescent="0.3">
      <c r="A7" s="114" t="str">
        <f t="shared" si="0"/>
        <v/>
      </c>
      <c r="B7" s="93"/>
      <c r="C7" s="46"/>
      <c r="D7" s="46"/>
      <c r="E7" s="46"/>
      <c r="F7" s="47"/>
      <c r="G7" s="46"/>
      <c r="H7" s="93"/>
      <c r="I7" s="89"/>
      <c r="J7" s="47"/>
      <c r="K7" s="47"/>
      <c r="L7" s="47"/>
      <c r="M7" s="47"/>
      <c r="N7" s="46"/>
    </row>
    <row r="8" spans="1:14" ht="21.75" customHeight="1" x14ac:dyDescent="0.3">
      <c r="A8" s="115" t="str">
        <f t="shared" si="0"/>
        <v/>
      </c>
      <c r="B8" s="101"/>
      <c r="C8" s="58"/>
      <c r="D8" s="58"/>
      <c r="E8" s="58"/>
      <c r="F8" s="54"/>
      <c r="G8" s="58"/>
      <c r="H8" s="101"/>
      <c r="I8" s="97"/>
      <c r="J8" s="54"/>
      <c r="K8" s="54"/>
      <c r="L8" s="54"/>
      <c r="M8" s="54"/>
      <c r="N8" s="58"/>
    </row>
    <row r="9" spans="1:14" ht="21.75" customHeight="1" x14ac:dyDescent="0.3">
      <c r="A9" s="114" t="str">
        <f t="shared" si="0"/>
        <v/>
      </c>
      <c r="B9" s="93"/>
      <c r="C9" s="46"/>
      <c r="D9" s="46"/>
      <c r="E9" s="46"/>
      <c r="F9" s="47"/>
      <c r="G9" s="46"/>
      <c r="H9" s="93"/>
      <c r="I9" s="89"/>
      <c r="J9" s="47"/>
      <c r="K9" s="47"/>
      <c r="L9" s="47"/>
      <c r="M9" s="47"/>
      <c r="N9" s="46"/>
    </row>
    <row r="10" spans="1:14" ht="21.75" customHeight="1" x14ac:dyDescent="0.3">
      <c r="A10" s="115" t="str">
        <f t="shared" si="0"/>
        <v/>
      </c>
      <c r="B10" s="101"/>
      <c r="C10" s="58"/>
      <c r="D10" s="58"/>
      <c r="E10" s="58"/>
      <c r="F10" s="54"/>
      <c r="G10" s="58"/>
      <c r="H10" s="101"/>
      <c r="I10" s="97"/>
      <c r="J10" s="54"/>
      <c r="K10" s="54"/>
      <c r="L10" s="54"/>
      <c r="M10" s="54"/>
      <c r="N10" s="58"/>
    </row>
    <row r="11" spans="1:14" ht="21.75" customHeight="1" x14ac:dyDescent="0.3">
      <c r="A11" s="114" t="str">
        <f t="shared" si="0"/>
        <v/>
      </c>
      <c r="B11" s="93"/>
      <c r="C11" s="46"/>
      <c r="D11" s="46"/>
      <c r="E11" s="46"/>
      <c r="F11" s="47"/>
      <c r="G11" s="46"/>
      <c r="H11" s="93"/>
      <c r="I11" s="89"/>
      <c r="J11" s="47"/>
      <c r="K11" s="47"/>
      <c r="L11" s="47"/>
      <c r="M11" s="47"/>
      <c r="N11" s="46"/>
    </row>
    <row r="12" spans="1:14" ht="21.75" customHeight="1" x14ac:dyDescent="0.3">
      <c r="A12" s="115" t="str">
        <f t="shared" si="0"/>
        <v/>
      </c>
      <c r="B12" s="101"/>
      <c r="C12" s="58"/>
      <c r="D12" s="58"/>
      <c r="E12" s="58"/>
      <c r="F12" s="54"/>
      <c r="G12" s="58"/>
      <c r="H12" s="101"/>
      <c r="I12" s="97"/>
      <c r="J12" s="54"/>
      <c r="K12" s="54"/>
      <c r="L12" s="54"/>
      <c r="M12" s="54"/>
      <c r="N12" s="58"/>
    </row>
    <row r="13" spans="1:14" ht="21.75" customHeight="1" x14ac:dyDescent="0.3">
      <c r="A13" s="114" t="str">
        <f t="shared" si="0"/>
        <v/>
      </c>
      <c r="B13" s="93"/>
      <c r="C13" s="46"/>
      <c r="D13" s="46"/>
      <c r="E13" s="46"/>
      <c r="F13" s="47"/>
      <c r="G13" s="46"/>
      <c r="H13" s="93"/>
      <c r="I13" s="89"/>
      <c r="J13" s="47"/>
      <c r="K13" s="47"/>
      <c r="L13" s="47"/>
      <c r="M13" s="47"/>
      <c r="N13" s="46"/>
    </row>
    <row r="14" spans="1:14" ht="21.75" customHeight="1" x14ac:dyDescent="0.3">
      <c r="A14" s="115" t="str">
        <f t="shared" si="0"/>
        <v/>
      </c>
      <c r="B14" s="101"/>
      <c r="C14" s="58"/>
      <c r="D14" s="58"/>
      <c r="E14" s="58"/>
      <c r="F14" s="54"/>
      <c r="G14" s="58"/>
      <c r="H14" s="101"/>
      <c r="I14" s="97"/>
      <c r="J14" s="54"/>
      <c r="K14" s="54"/>
      <c r="L14" s="54"/>
      <c r="M14" s="54"/>
      <c r="N14" s="58"/>
    </row>
    <row r="15" spans="1:14" ht="21.75" customHeight="1" x14ac:dyDescent="0.3">
      <c r="A15" s="114" t="str">
        <f t="shared" si="0"/>
        <v/>
      </c>
      <c r="B15" s="93"/>
      <c r="C15" s="46"/>
      <c r="D15" s="46"/>
      <c r="E15" s="46"/>
      <c r="F15" s="47"/>
      <c r="G15" s="46"/>
      <c r="H15" s="93"/>
      <c r="I15" s="89"/>
      <c r="J15" s="47"/>
      <c r="K15" s="47"/>
      <c r="L15" s="47"/>
      <c r="M15" s="47"/>
      <c r="N15" s="46"/>
    </row>
    <row r="16" spans="1:14" ht="21.75" customHeight="1" x14ac:dyDescent="0.3">
      <c r="A16" s="115" t="str">
        <f t="shared" si="0"/>
        <v/>
      </c>
      <c r="B16" s="101"/>
      <c r="C16" s="58"/>
      <c r="D16" s="58"/>
      <c r="E16" s="58"/>
      <c r="F16" s="54"/>
      <c r="G16" s="58"/>
      <c r="H16" s="101"/>
      <c r="I16" s="97"/>
      <c r="J16" s="54"/>
      <c r="K16" s="54"/>
      <c r="L16" s="54"/>
      <c r="M16" s="54"/>
      <c r="N16" s="58"/>
    </row>
    <row r="17" spans="1:14" ht="21.75" customHeight="1" x14ac:dyDescent="0.3">
      <c r="A17" s="114" t="str">
        <f t="shared" si="0"/>
        <v/>
      </c>
      <c r="B17" s="93"/>
      <c r="C17" s="46"/>
      <c r="D17" s="46"/>
      <c r="E17" s="46"/>
      <c r="F17" s="47"/>
      <c r="G17" s="46"/>
      <c r="H17" s="93"/>
      <c r="I17" s="89"/>
      <c r="J17" s="47"/>
      <c r="K17" s="47"/>
      <c r="L17" s="47"/>
      <c r="M17" s="47"/>
      <c r="N17" s="46"/>
    </row>
    <row r="18" spans="1:14" ht="21.75" customHeight="1" x14ac:dyDescent="0.3">
      <c r="A18" s="115" t="str">
        <f t="shared" si="0"/>
        <v/>
      </c>
      <c r="B18" s="101"/>
      <c r="C18" s="58"/>
      <c r="D18" s="58"/>
      <c r="E18" s="58"/>
      <c r="F18" s="54"/>
      <c r="G18" s="58"/>
      <c r="H18" s="101"/>
      <c r="I18" s="97"/>
      <c r="J18" s="54"/>
      <c r="K18" s="54"/>
      <c r="L18" s="54"/>
      <c r="M18" s="54"/>
      <c r="N18" s="58"/>
    </row>
    <row r="19" spans="1:14" ht="21.75" customHeight="1" x14ac:dyDescent="0.3">
      <c r="A19" s="114" t="str">
        <f t="shared" si="0"/>
        <v/>
      </c>
      <c r="B19" s="93"/>
      <c r="C19" s="46"/>
      <c r="D19" s="46"/>
      <c r="E19" s="46"/>
      <c r="F19" s="47"/>
      <c r="G19" s="46"/>
      <c r="H19" s="93"/>
      <c r="I19" s="89"/>
      <c r="J19" s="47"/>
      <c r="K19" s="47"/>
      <c r="L19" s="47"/>
      <c r="M19" s="47"/>
      <c r="N19" s="46"/>
    </row>
    <row r="20" spans="1:14" ht="21.75" customHeight="1" x14ac:dyDescent="0.3">
      <c r="A20" s="115" t="str">
        <f t="shared" si="0"/>
        <v/>
      </c>
      <c r="B20" s="101"/>
      <c r="C20" s="58"/>
      <c r="D20" s="58"/>
      <c r="E20" s="58"/>
      <c r="F20" s="54"/>
      <c r="G20" s="58"/>
      <c r="H20" s="101"/>
      <c r="I20" s="97"/>
      <c r="J20" s="54"/>
      <c r="K20" s="54"/>
      <c r="L20" s="54"/>
      <c r="M20" s="54"/>
      <c r="N20" s="58"/>
    </row>
    <row r="21" spans="1:14" ht="21.75" customHeight="1" x14ac:dyDescent="0.3">
      <c r="A21" s="114" t="str">
        <f t="shared" si="0"/>
        <v/>
      </c>
      <c r="B21" s="93"/>
      <c r="C21" s="46"/>
      <c r="D21" s="46"/>
      <c r="E21" s="46"/>
      <c r="F21" s="47"/>
      <c r="G21" s="46"/>
      <c r="H21" s="93"/>
      <c r="I21" s="89"/>
      <c r="J21" s="47"/>
      <c r="K21" s="47"/>
      <c r="L21" s="47"/>
      <c r="M21" s="47"/>
      <c r="N21" s="46"/>
    </row>
    <row r="22" spans="1:14" ht="21.75" customHeight="1" x14ac:dyDescent="0.3">
      <c r="A22" s="115" t="str">
        <f t="shared" si="0"/>
        <v/>
      </c>
      <c r="B22" s="101"/>
      <c r="C22" s="58"/>
      <c r="D22" s="58"/>
      <c r="E22" s="58"/>
      <c r="F22" s="54"/>
      <c r="G22" s="58"/>
      <c r="H22" s="101"/>
      <c r="I22" s="97"/>
      <c r="J22" s="54"/>
      <c r="K22" s="54"/>
      <c r="L22" s="54"/>
      <c r="M22" s="54"/>
      <c r="N22" s="58"/>
    </row>
    <row r="23" spans="1:14" ht="21.75" customHeight="1" x14ac:dyDescent="0.3">
      <c r="A23" s="114" t="str">
        <f t="shared" si="0"/>
        <v/>
      </c>
      <c r="B23" s="93"/>
      <c r="C23" s="46"/>
      <c r="D23" s="46"/>
      <c r="E23" s="46"/>
      <c r="F23" s="47"/>
      <c r="G23" s="46"/>
      <c r="H23" s="93"/>
      <c r="I23" s="89"/>
      <c r="J23" s="47"/>
      <c r="K23" s="47"/>
      <c r="L23" s="47"/>
      <c r="M23" s="47"/>
      <c r="N23" s="46"/>
    </row>
    <row r="24" spans="1:14" ht="21.75" customHeight="1" x14ac:dyDescent="0.3">
      <c r="A24" s="115" t="str">
        <f t="shared" si="0"/>
        <v/>
      </c>
      <c r="B24" s="101"/>
      <c r="C24" s="58"/>
      <c r="D24" s="58"/>
      <c r="E24" s="58"/>
      <c r="F24" s="54"/>
      <c r="G24" s="58"/>
      <c r="H24" s="101"/>
      <c r="I24" s="97"/>
      <c r="J24" s="54"/>
      <c r="K24" s="54"/>
      <c r="L24" s="54"/>
      <c r="M24" s="54"/>
      <c r="N24" s="58"/>
    </row>
    <row r="25" spans="1:14" ht="21.75" customHeight="1" x14ac:dyDescent="0.3">
      <c r="A25" s="114" t="str">
        <f t="shared" si="0"/>
        <v/>
      </c>
      <c r="B25" s="93"/>
      <c r="C25" s="46"/>
      <c r="D25" s="46"/>
      <c r="E25" s="46"/>
      <c r="F25" s="47"/>
      <c r="G25" s="46"/>
      <c r="H25" s="93"/>
      <c r="I25" s="89"/>
      <c r="J25" s="47"/>
      <c r="K25" s="47"/>
      <c r="L25" s="47"/>
      <c r="M25" s="47"/>
      <c r="N25" s="46"/>
    </row>
    <row r="26" spans="1:14" ht="21.75" customHeight="1" x14ac:dyDescent="0.3">
      <c r="A26" s="115" t="str">
        <f t="shared" si="0"/>
        <v/>
      </c>
      <c r="B26" s="101"/>
      <c r="C26" s="58"/>
      <c r="D26" s="58"/>
      <c r="E26" s="58"/>
      <c r="F26" s="54"/>
      <c r="G26" s="58"/>
      <c r="H26" s="101"/>
      <c r="I26" s="97"/>
      <c r="J26" s="54"/>
      <c r="K26" s="54"/>
      <c r="L26" s="54"/>
      <c r="M26" s="54"/>
      <c r="N26" s="58"/>
    </row>
    <row r="27" spans="1:14" ht="21.75" customHeight="1" x14ac:dyDescent="0.3">
      <c r="A27" s="114" t="str">
        <f t="shared" si="0"/>
        <v/>
      </c>
      <c r="B27" s="93"/>
      <c r="C27" s="46"/>
      <c r="D27" s="46"/>
      <c r="E27" s="46"/>
      <c r="F27" s="47"/>
      <c r="G27" s="46"/>
      <c r="H27" s="93"/>
      <c r="I27" s="89"/>
      <c r="J27" s="47"/>
      <c r="K27" s="47"/>
      <c r="L27" s="47"/>
      <c r="M27" s="47"/>
      <c r="N27" s="46"/>
    </row>
    <row r="28" spans="1:14" ht="21.75" customHeight="1" x14ac:dyDescent="0.3">
      <c r="A28" s="115" t="str">
        <f t="shared" si="0"/>
        <v/>
      </c>
      <c r="B28" s="101"/>
      <c r="C28" s="58"/>
      <c r="D28" s="58"/>
      <c r="E28" s="58"/>
      <c r="F28" s="54"/>
      <c r="G28" s="58"/>
      <c r="H28" s="101"/>
      <c r="I28" s="97"/>
      <c r="J28" s="54"/>
      <c r="K28" s="54"/>
      <c r="L28" s="54"/>
      <c r="M28" s="54"/>
      <c r="N28" s="58"/>
    </row>
    <row r="29" spans="1:14" ht="21.75" customHeight="1" x14ac:dyDescent="0.3">
      <c r="A29" s="114" t="str">
        <f t="shared" si="0"/>
        <v/>
      </c>
      <c r="B29" s="93"/>
      <c r="C29" s="46"/>
      <c r="D29" s="46"/>
      <c r="E29" s="46"/>
      <c r="F29" s="47"/>
      <c r="G29" s="46"/>
      <c r="H29" s="93"/>
      <c r="I29" s="89"/>
      <c r="J29" s="47"/>
      <c r="K29" s="47"/>
      <c r="L29" s="47"/>
      <c r="M29" s="47"/>
      <c r="N29" s="46"/>
    </row>
    <row r="30" spans="1:14" ht="21.75" customHeight="1" x14ac:dyDescent="0.3">
      <c r="A30" s="115" t="str">
        <f t="shared" si="0"/>
        <v/>
      </c>
      <c r="B30" s="101"/>
      <c r="C30" s="58"/>
      <c r="D30" s="58"/>
      <c r="E30" s="58"/>
      <c r="F30" s="54"/>
      <c r="G30" s="58"/>
      <c r="H30" s="101"/>
      <c r="I30" s="97"/>
      <c r="J30" s="54"/>
      <c r="K30" s="54"/>
      <c r="L30" s="54"/>
      <c r="M30" s="54"/>
      <c r="N30" s="58"/>
    </row>
    <row r="31" spans="1:14" ht="21.75" customHeight="1" x14ac:dyDescent="0.3">
      <c r="A31" s="114" t="str">
        <f t="shared" si="0"/>
        <v/>
      </c>
      <c r="B31" s="93"/>
      <c r="C31" s="46"/>
      <c r="D31" s="46"/>
      <c r="E31" s="46"/>
      <c r="F31" s="47"/>
      <c r="G31" s="46"/>
      <c r="H31" s="93"/>
      <c r="I31" s="89"/>
      <c r="J31" s="47"/>
      <c r="K31" s="47"/>
      <c r="L31" s="47"/>
      <c r="M31" s="47"/>
      <c r="N31" s="46"/>
    </row>
    <row r="32" spans="1:14" ht="21.75" customHeight="1" x14ac:dyDescent="0.3">
      <c r="A32" s="115" t="str">
        <f t="shared" si="0"/>
        <v/>
      </c>
      <c r="B32" s="101"/>
      <c r="C32" s="58"/>
      <c r="D32" s="58"/>
      <c r="E32" s="58"/>
      <c r="F32" s="54"/>
      <c r="G32" s="58"/>
      <c r="H32" s="101"/>
      <c r="I32" s="97"/>
      <c r="J32" s="54"/>
      <c r="K32" s="54"/>
      <c r="L32" s="54"/>
      <c r="M32" s="54"/>
      <c r="N32" s="58"/>
    </row>
    <row r="33" spans="1:14" ht="21.75" customHeight="1" x14ac:dyDescent="0.3">
      <c r="A33" s="114" t="str">
        <f t="shared" si="0"/>
        <v/>
      </c>
      <c r="B33" s="93"/>
      <c r="C33" s="46"/>
      <c r="D33" s="46"/>
      <c r="E33" s="46"/>
      <c r="F33" s="47"/>
      <c r="G33" s="46"/>
      <c r="H33" s="93"/>
      <c r="I33" s="89"/>
      <c r="J33" s="47"/>
      <c r="K33" s="47"/>
      <c r="L33" s="47"/>
      <c r="M33" s="47"/>
      <c r="N33" s="46"/>
    </row>
    <row r="34" spans="1:14" ht="21.75" customHeight="1" x14ac:dyDescent="0.3">
      <c r="A34" s="115" t="str">
        <f t="shared" si="0"/>
        <v/>
      </c>
      <c r="B34" s="101"/>
      <c r="C34" s="58"/>
      <c r="D34" s="58"/>
      <c r="E34" s="58"/>
      <c r="F34" s="54"/>
      <c r="G34" s="58"/>
      <c r="H34" s="101"/>
      <c r="I34" s="97"/>
      <c r="J34" s="54"/>
      <c r="K34" s="54"/>
      <c r="L34" s="54"/>
      <c r="M34" s="54"/>
      <c r="N34" s="58"/>
    </row>
    <row r="35" spans="1:14" ht="21.75" customHeight="1" x14ac:dyDescent="0.3">
      <c r="A35" s="114" t="str">
        <f t="shared" si="0"/>
        <v/>
      </c>
      <c r="B35" s="93"/>
      <c r="C35" s="46"/>
      <c r="D35" s="46"/>
      <c r="E35" s="46"/>
      <c r="F35" s="47"/>
      <c r="G35" s="46"/>
      <c r="H35" s="93"/>
      <c r="I35" s="89"/>
      <c r="J35" s="47"/>
      <c r="K35" s="47"/>
      <c r="L35" s="47"/>
      <c r="M35" s="47"/>
      <c r="N35" s="46"/>
    </row>
    <row r="36" spans="1:14" ht="21.75" customHeight="1" x14ac:dyDescent="0.3">
      <c r="A36" s="115" t="str">
        <f t="shared" si="0"/>
        <v/>
      </c>
      <c r="B36" s="101"/>
      <c r="C36" s="58"/>
      <c r="D36" s="58"/>
      <c r="E36" s="58"/>
      <c r="F36" s="54"/>
      <c r="G36" s="58"/>
      <c r="H36" s="101"/>
      <c r="I36" s="97"/>
      <c r="J36" s="54"/>
      <c r="K36" s="54"/>
      <c r="L36" s="54"/>
      <c r="M36" s="54"/>
      <c r="N36" s="58"/>
    </row>
    <row r="37" spans="1:14" ht="21.75" customHeight="1" x14ac:dyDescent="0.3">
      <c r="A37" s="114" t="str">
        <f t="shared" si="0"/>
        <v/>
      </c>
      <c r="B37" s="93"/>
      <c r="C37" s="46"/>
      <c r="D37" s="46"/>
      <c r="E37" s="46"/>
      <c r="F37" s="47"/>
      <c r="G37" s="46"/>
      <c r="H37" s="93"/>
      <c r="I37" s="89"/>
      <c r="J37" s="47"/>
      <c r="K37" s="47"/>
      <c r="L37" s="47"/>
      <c r="M37" s="47"/>
      <c r="N37" s="46"/>
    </row>
    <row r="38" spans="1:14" ht="21.75" customHeight="1" x14ac:dyDescent="0.3">
      <c r="A38" s="115" t="str">
        <f t="shared" si="0"/>
        <v/>
      </c>
      <c r="B38" s="101"/>
      <c r="C38" s="58"/>
      <c r="D38" s="58"/>
      <c r="E38" s="58"/>
      <c r="F38" s="54"/>
      <c r="G38" s="58"/>
      <c r="H38" s="101"/>
      <c r="I38" s="97"/>
      <c r="J38" s="54"/>
      <c r="K38" s="54"/>
      <c r="L38" s="54"/>
      <c r="M38" s="54"/>
      <c r="N38" s="58"/>
    </row>
    <row r="39" spans="1:14" ht="21.75" customHeight="1" x14ac:dyDescent="0.3">
      <c r="A39" s="114" t="str">
        <f t="shared" si="0"/>
        <v/>
      </c>
      <c r="B39" s="93"/>
      <c r="C39" s="46"/>
      <c r="D39" s="46"/>
      <c r="E39" s="46"/>
      <c r="F39" s="47"/>
      <c r="G39" s="46"/>
      <c r="H39" s="93"/>
      <c r="I39" s="89"/>
      <c r="J39" s="47"/>
      <c r="K39" s="47"/>
      <c r="L39" s="47"/>
      <c r="M39" s="47"/>
      <c r="N39" s="46"/>
    </row>
    <row r="40" spans="1:14" ht="21.75" customHeight="1" x14ac:dyDescent="0.3">
      <c r="A40" s="115" t="str">
        <f t="shared" si="0"/>
        <v/>
      </c>
      <c r="B40" s="101"/>
      <c r="C40" s="58"/>
      <c r="D40" s="58"/>
      <c r="E40" s="58"/>
      <c r="F40" s="54"/>
      <c r="G40" s="58"/>
      <c r="H40" s="101"/>
      <c r="I40" s="97"/>
      <c r="J40" s="54"/>
      <c r="K40" s="54"/>
      <c r="L40" s="54"/>
      <c r="M40" s="54"/>
      <c r="N40" s="58"/>
    </row>
    <row r="41" spans="1:14" ht="21.75" customHeight="1" x14ac:dyDescent="0.3">
      <c r="A41" s="114" t="str">
        <f t="shared" si="0"/>
        <v/>
      </c>
      <c r="B41" s="93"/>
      <c r="C41" s="46"/>
      <c r="D41" s="46"/>
      <c r="E41" s="46"/>
      <c r="F41" s="47"/>
      <c r="G41" s="46"/>
      <c r="H41" s="93"/>
      <c r="I41" s="89"/>
      <c r="J41" s="47"/>
      <c r="K41" s="47"/>
      <c r="L41" s="47"/>
      <c r="M41" s="47"/>
      <c r="N41" s="46"/>
    </row>
    <row r="42" spans="1:14" ht="21.75" customHeight="1" x14ac:dyDescent="0.3">
      <c r="A42" s="115" t="str">
        <f t="shared" si="0"/>
        <v/>
      </c>
      <c r="B42" s="101"/>
      <c r="C42" s="58"/>
      <c r="D42" s="58"/>
      <c r="E42" s="58"/>
      <c r="F42" s="54"/>
      <c r="G42" s="58"/>
      <c r="H42" s="101"/>
      <c r="I42" s="97"/>
      <c r="J42" s="54"/>
      <c r="K42" s="54"/>
      <c r="L42" s="54"/>
      <c r="M42" s="54"/>
      <c r="N42" s="58"/>
    </row>
    <row r="43" spans="1:14" ht="21.75" customHeight="1" x14ac:dyDescent="0.3">
      <c r="A43" s="114" t="str">
        <f t="shared" si="0"/>
        <v/>
      </c>
      <c r="B43" s="93"/>
      <c r="C43" s="46"/>
      <c r="D43" s="46"/>
      <c r="E43" s="46"/>
      <c r="F43" s="47"/>
      <c r="G43" s="46"/>
      <c r="H43" s="93"/>
      <c r="I43" s="89"/>
      <c r="J43" s="47"/>
      <c r="K43" s="47"/>
      <c r="L43" s="47"/>
      <c r="M43" s="47"/>
      <c r="N43" s="46"/>
    </row>
    <row r="44" spans="1:14" ht="21.75" customHeight="1" x14ac:dyDescent="0.3">
      <c r="A44" s="115" t="str">
        <f t="shared" si="0"/>
        <v/>
      </c>
      <c r="B44" s="101"/>
      <c r="C44" s="58"/>
      <c r="D44" s="58"/>
      <c r="E44" s="58"/>
      <c r="F44" s="54"/>
      <c r="G44" s="58"/>
      <c r="H44" s="101"/>
      <c r="I44" s="97"/>
      <c r="J44" s="54"/>
      <c r="K44" s="54"/>
      <c r="L44" s="54"/>
      <c r="M44" s="54"/>
      <c r="N44" s="58"/>
    </row>
    <row r="45" spans="1:14" ht="21.75" customHeight="1" x14ac:dyDescent="0.3">
      <c r="A45" s="114" t="str">
        <f t="shared" si="0"/>
        <v/>
      </c>
      <c r="B45" s="93"/>
      <c r="C45" s="46"/>
      <c r="D45" s="46"/>
      <c r="E45" s="46"/>
      <c r="F45" s="47"/>
      <c r="G45" s="46"/>
      <c r="H45" s="93"/>
      <c r="I45" s="89"/>
      <c r="J45" s="47"/>
      <c r="K45" s="47"/>
      <c r="L45" s="47"/>
      <c r="M45" s="47"/>
      <c r="N45" s="46"/>
    </row>
    <row r="46" spans="1:14" ht="21.75" customHeight="1" x14ac:dyDescent="0.3">
      <c r="A46" s="115" t="str">
        <f t="shared" si="0"/>
        <v/>
      </c>
      <c r="B46" s="101"/>
      <c r="C46" s="58"/>
      <c r="D46" s="58"/>
      <c r="E46" s="58"/>
      <c r="F46" s="54"/>
      <c r="G46" s="58"/>
      <c r="H46" s="101"/>
      <c r="I46" s="97"/>
      <c r="J46" s="54"/>
      <c r="K46" s="54"/>
      <c r="L46" s="54"/>
      <c r="M46" s="54"/>
      <c r="N46" s="58"/>
    </row>
    <row r="47" spans="1:14" ht="21.75" customHeight="1" x14ac:dyDescent="0.3">
      <c r="A47" s="114" t="str">
        <f t="shared" si="0"/>
        <v/>
      </c>
      <c r="B47" s="93"/>
      <c r="C47" s="46"/>
      <c r="D47" s="46"/>
      <c r="E47" s="46"/>
      <c r="F47" s="47"/>
      <c r="G47" s="46"/>
      <c r="H47" s="93"/>
      <c r="I47" s="89"/>
      <c r="J47" s="47"/>
      <c r="K47" s="47"/>
      <c r="L47" s="47"/>
      <c r="M47" s="47"/>
      <c r="N47" s="46"/>
    </row>
    <row r="48" spans="1:14" ht="21.75" customHeight="1" x14ac:dyDescent="0.3">
      <c r="A48" s="115" t="str">
        <f t="shared" si="0"/>
        <v/>
      </c>
      <c r="B48" s="101"/>
      <c r="C48" s="58"/>
      <c r="D48" s="58"/>
      <c r="E48" s="58"/>
      <c r="F48" s="54"/>
      <c r="G48" s="58"/>
      <c r="H48" s="101"/>
      <c r="I48" s="97"/>
      <c r="J48" s="54"/>
      <c r="K48" s="54"/>
      <c r="L48" s="54"/>
      <c r="M48" s="54"/>
      <c r="N48" s="58"/>
    </row>
    <row r="49" spans="1:14" ht="21.75" customHeight="1" x14ac:dyDescent="0.3">
      <c r="A49" s="114" t="str">
        <f t="shared" si="0"/>
        <v/>
      </c>
      <c r="B49" s="93"/>
      <c r="C49" s="46"/>
      <c r="D49" s="46"/>
      <c r="E49" s="46"/>
      <c r="F49" s="47"/>
      <c r="G49" s="46"/>
      <c r="H49" s="93"/>
      <c r="I49" s="89"/>
      <c r="J49" s="47"/>
      <c r="K49" s="47"/>
      <c r="L49" s="47"/>
      <c r="M49" s="47"/>
      <c r="N49" s="46"/>
    </row>
    <row r="50" spans="1:14" ht="21.75" customHeight="1" x14ac:dyDescent="0.3">
      <c r="A50" s="115" t="str">
        <f t="shared" si="0"/>
        <v/>
      </c>
      <c r="B50" s="101"/>
      <c r="C50" s="58"/>
      <c r="D50" s="58"/>
      <c r="E50" s="58"/>
      <c r="F50" s="54"/>
      <c r="G50" s="58"/>
      <c r="H50" s="101"/>
      <c r="I50" s="97"/>
      <c r="J50" s="54"/>
      <c r="K50" s="54"/>
      <c r="L50" s="54"/>
      <c r="M50" s="54"/>
      <c r="N50" s="58"/>
    </row>
    <row r="51" spans="1:14" ht="21.75" customHeight="1" x14ac:dyDescent="0.3">
      <c r="A51" s="114" t="str">
        <f t="shared" si="0"/>
        <v/>
      </c>
      <c r="B51" s="93"/>
      <c r="C51" s="46"/>
      <c r="D51" s="46"/>
      <c r="E51" s="46"/>
      <c r="F51" s="47"/>
      <c r="G51" s="46"/>
      <c r="H51" s="93"/>
      <c r="I51" s="89"/>
      <c r="J51" s="47"/>
      <c r="K51" s="47"/>
      <c r="L51" s="47"/>
      <c r="M51" s="47"/>
      <c r="N51" s="46"/>
    </row>
    <row r="52" spans="1:14" ht="21.75" customHeight="1" x14ac:dyDescent="0.3">
      <c r="A52" s="115" t="str">
        <f t="shared" si="0"/>
        <v/>
      </c>
      <c r="B52" s="101"/>
      <c r="C52" s="58"/>
      <c r="D52" s="58"/>
      <c r="E52" s="58"/>
      <c r="F52" s="54"/>
      <c r="G52" s="58"/>
      <c r="H52" s="101"/>
      <c r="I52" s="97"/>
      <c r="J52" s="54"/>
      <c r="K52" s="54"/>
      <c r="L52" s="54"/>
      <c r="M52" s="54"/>
      <c r="N52" s="58"/>
    </row>
    <row r="53" spans="1:14" ht="21.75" customHeight="1" x14ac:dyDescent="0.3">
      <c r="A53" s="114" t="str">
        <f t="shared" si="0"/>
        <v/>
      </c>
      <c r="B53" s="93"/>
      <c r="C53" s="46"/>
      <c r="D53" s="46"/>
      <c r="E53" s="46"/>
      <c r="F53" s="47"/>
      <c r="G53" s="46"/>
      <c r="H53" s="93"/>
      <c r="I53" s="89"/>
      <c r="J53" s="47"/>
      <c r="K53" s="47"/>
      <c r="L53" s="47"/>
      <c r="M53" s="47"/>
      <c r="N53" s="46"/>
    </row>
    <row r="54" spans="1:14" ht="21.75" customHeight="1" x14ac:dyDescent="0.3">
      <c r="A54" s="115" t="str">
        <f t="shared" si="0"/>
        <v/>
      </c>
      <c r="B54" s="101"/>
      <c r="C54" s="58"/>
      <c r="D54" s="58"/>
      <c r="E54" s="58"/>
      <c r="F54" s="54"/>
      <c r="G54" s="58"/>
      <c r="H54" s="101"/>
      <c r="I54" s="97"/>
      <c r="J54" s="54"/>
      <c r="K54" s="54"/>
      <c r="L54" s="54"/>
      <c r="M54" s="54"/>
      <c r="N54" s="58"/>
    </row>
    <row r="55" spans="1:14" ht="21.75" customHeight="1" x14ac:dyDescent="0.3">
      <c r="A55" s="114" t="str">
        <f t="shared" si="0"/>
        <v/>
      </c>
      <c r="B55" s="93"/>
      <c r="C55" s="46"/>
      <c r="D55" s="46"/>
      <c r="E55" s="46"/>
      <c r="F55" s="47"/>
      <c r="G55" s="46"/>
      <c r="H55" s="93"/>
      <c r="I55" s="89"/>
      <c r="J55" s="47"/>
      <c r="K55" s="47"/>
      <c r="L55" s="47"/>
      <c r="M55" s="47"/>
      <c r="N55" s="46"/>
    </row>
    <row r="56" spans="1:14" ht="21.75" customHeight="1" x14ac:dyDescent="0.3">
      <c r="A56" s="115" t="str">
        <f t="shared" si="0"/>
        <v/>
      </c>
      <c r="B56" s="101"/>
      <c r="C56" s="58"/>
      <c r="D56" s="58"/>
      <c r="E56" s="58"/>
      <c r="F56" s="54"/>
      <c r="G56" s="58"/>
      <c r="H56" s="101"/>
      <c r="I56" s="97"/>
      <c r="J56" s="54"/>
      <c r="K56" s="54"/>
      <c r="L56" s="54"/>
      <c r="M56" s="54"/>
      <c r="N56" s="58"/>
    </row>
    <row r="57" spans="1:14" ht="21.75" customHeight="1" x14ac:dyDescent="0.3">
      <c r="A57" s="114" t="str">
        <f t="shared" si="0"/>
        <v/>
      </c>
      <c r="B57" s="93"/>
      <c r="C57" s="46"/>
      <c r="D57" s="46"/>
      <c r="E57" s="46"/>
      <c r="F57" s="47"/>
      <c r="G57" s="46"/>
      <c r="H57" s="93"/>
      <c r="I57" s="89"/>
      <c r="J57" s="47"/>
      <c r="K57" s="47"/>
      <c r="L57" s="47"/>
      <c r="M57" s="47"/>
      <c r="N57" s="46"/>
    </row>
    <row r="58" spans="1:14" ht="21.75" customHeight="1" x14ac:dyDescent="0.3">
      <c r="A58" s="115" t="str">
        <f t="shared" si="0"/>
        <v/>
      </c>
      <c r="B58" s="101"/>
      <c r="C58" s="58"/>
      <c r="D58" s="58"/>
      <c r="E58" s="58"/>
      <c r="F58" s="54"/>
      <c r="G58" s="58"/>
      <c r="H58" s="101"/>
      <c r="I58" s="97"/>
      <c r="J58" s="54"/>
      <c r="K58" s="54"/>
      <c r="L58" s="54"/>
      <c r="M58" s="54"/>
      <c r="N58" s="58"/>
    </row>
    <row r="59" spans="1:14" ht="21.75" customHeight="1" x14ac:dyDescent="0.3">
      <c r="A59" s="114" t="str">
        <f t="shared" si="0"/>
        <v/>
      </c>
      <c r="B59" s="93"/>
      <c r="C59" s="46"/>
      <c r="D59" s="46"/>
      <c r="E59" s="46"/>
      <c r="F59" s="47"/>
      <c r="G59" s="46"/>
      <c r="H59" s="93"/>
      <c r="I59" s="89"/>
      <c r="J59" s="47"/>
      <c r="K59" s="47"/>
      <c r="L59" s="47"/>
      <c r="M59" s="47"/>
      <c r="N59" s="46"/>
    </row>
    <row r="60" spans="1:14" ht="21.75" customHeight="1" x14ac:dyDescent="0.3">
      <c r="A60" s="115" t="str">
        <f t="shared" si="0"/>
        <v/>
      </c>
      <c r="B60" s="101"/>
      <c r="C60" s="58"/>
      <c r="D60" s="58"/>
      <c r="E60" s="58"/>
      <c r="F60" s="54"/>
      <c r="G60" s="58"/>
      <c r="H60" s="101"/>
      <c r="I60" s="97"/>
      <c r="J60" s="54"/>
      <c r="K60" s="54"/>
      <c r="L60" s="54"/>
      <c r="M60" s="54"/>
      <c r="N60" s="58"/>
    </row>
    <row r="61" spans="1:14" ht="21.75" customHeight="1" x14ac:dyDescent="0.3">
      <c r="A61" s="114" t="str">
        <f t="shared" si="0"/>
        <v/>
      </c>
      <c r="B61" s="93"/>
      <c r="C61" s="46"/>
      <c r="D61" s="46"/>
      <c r="E61" s="46"/>
      <c r="F61" s="47"/>
      <c r="G61" s="46"/>
      <c r="H61" s="93"/>
      <c r="I61" s="89"/>
      <c r="J61" s="47"/>
      <c r="K61" s="47"/>
      <c r="L61" s="47"/>
      <c r="M61" s="47"/>
      <c r="N61" s="46"/>
    </row>
    <row r="62" spans="1:14" ht="21.75" customHeight="1" x14ac:dyDescent="0.3">
      <c r="A62" s="115" t="str">
        <f t="shared" si="0"/>
        <v/>
      </c>
      <c r="B62" s="101"/>
      <c r="C62" s="58"/>
      <c r="D62" s="58"/>
      <c r="E62" s="58"/>
      <c r="F62" s="54"/>
      <c r="G62" s="58"/>
      <c r="H62" s="101"/>
      <c r="I62" s="97"/>
      <c r="J62" s="54"/>
      <c r="K62" s="54"/>
      <c r="L62" s="54"/>
      <c r="M62" s="54"/>
      <c r="N62" s="58"/>
    </row>
    <row r="63" spans="1:14" ht="21.75" customHeight="1" x14ac:dyDescent="0.3">
      <c r="A63" s="114" t="str">
        <f t="shared" si="0"/>
        <v/>
      </c>
      <c r="B63" s="93"/>
      <c r="C63" s="46"/>
      <c r="D63" s="46"/>
      <c r="E63" s="46"/>
      <c r="F63" s="47"/>
      <c r="G63" s="46"/>
      <c r="H63" s="93"/>
      <c r="I63" s="89"/>
      <c r="J63" s="47"/>
      <c r="K63" s="47"/>
      <c r="L63" s="47"/>
      <c r="M63" s="47"/>
      <c r="N63" s="46"/>
    </row>
    <row r="64" spans="1:14" ht="21.75" customHeight="1" x14ac:dyDescent="0.3">
      <c r="A64" s="115" t="str">
        <f t="shared" si="0"/>
        <v/>
      </c>
      <c r="B64" s="101"/>
      <c r="C64" s="58"/>
      <c r="D64" s="58"/>
      <c r="E64" s="58"/>
      <c r="F64" s="54"/>
      <c r="G64" s="58"/>
      <c r="H64" s="101"/>
      <c r="I64" s="97"/>
      <c r="J64" s="54"/>
      <c r="K64" s="54"/>
      <c r="L64" s="54"/>
      <c r="M64" s="54"/>
      <c r="N64" s="58"/>
    </row>
    <row r="65" spans="1:14" ht="21.75" customHeight="1" x14ac:dyDescent="0.3">
      <c r="A65" s="114" t="str">
        <f t="shared" si="0"/>
        <v/>
      </c>
      <c r="B65" s="93"/>
      <c r="C65" s="46"/>
      <c r="D65" s="46"/>
      <c r="E65" s="46"/>
      <c r="F65" s="47"/>
      <c r="G65" s="46"/>
      <c r="H65" s="93"/>
      <c r="I65" s="89"/>
      <c r="J65" s="47"/>
      <c r="K65" s="47"/>
      <c r="L65" s="47"/>
      <c r="M65" s="47"/>
      <c r="N65" s="46"/>
    </row>
    <row r="66" spans="1:14" ht="21.75" customHeight="1" x14ac:dyDescent="0.3">
      <c r="A66" s="115" t="str">
        <f t="shared" si="0"/>
        <v/>
      </c>
      <c r="B66" s="101"/>
      <c r="C66" s="58"/>
      <c r="D66" s="58"/>
      <c r="E66" s="58"/>
      <c r="F66" s="54"/>
      <c r="G66" s="58"/>
      <c r="H66" s="101"/>
      <c r="I66" s="97"/>
      <c r="J66" s="54"/>
      <c r="K66" s="54"/>
      <c r="L66" s="54"/>
      <c r="M66" s="54"/>
      <c r="N66" s="58"/>
    </row>
    <row r="67" spans="1:14" ht="21.75" customHeight="1" x14ac:dyDescent="0.3">
      <c r="A67" s="114" t="str">
        <f t="shared" ref="A67:A130" si="1">IF(B67="","",ROW()-2)</f>
        <v/>
      </c>
      <c r="B67" s="93"/>
      <c r="C67" s="46"/>
      <c r="D67" s="46"/>
      <c r="E67" s="46"/>
      <c r="F67" s="47"/>
      <c r="G67" s="46"/>
      <c r="H67" s="93"/>
      <c r="I67" s="89"/>
      <c r="J67" s="47"/>
      <c r="K67" s="47"/>
      <c r="L67" s="47"/>
      <c r="M67" s="47"/>
      <c r="N67" s="46"/>
    </row>
    <row r="68" spans="1:14" ht="21.75" customHeight="1" x14ac:dyDescent="0.3">
      <c r="A68" s="115" t="str">
        <f t="shared" si="1"/>
        <v/>
      </c>
      <c r="B68" s="101"/>
      <c r="C68" s="58"/>
      <c r="D68" s="58"/>
      <c r="E68" s="58"/>
      <c r="F68" s="54"/>
      <c r="G68" s="58"/>
      <c r="H68" s="101"/>
      <c r="I68" s="97"/>
      <c r="J68" s="54"/>
      <c r="K68" s="54"/>
      <c r="L68" s="54"/>
      <c r="M68" s="54"/>
      <c r="N68" s="58"/>
    </row>
    <row r="69" spans="1:14" ht="21.75" customHeight="1" x14ac:dyDescent="0.3">
      <c r="A69" s="114" t="str">
        <f t="shared" si="1"/>
        <v/>
      </c>
      <c r="B69" s="93"/>
      <c r="C69" s="46"/>
      <c r="D69" s="46"/>
      <c r="E69" s="46"/>
      <c r="F69" s="47"/>
      <c r="G69" s="46"/>
      <c r="H69" s="93"/>
      <c r="I69" s="89"/>
      <c r="J69" s="47"/>
      <c r="K69" s="47"/>
      <c r="L69" s="47"/>
      <c r="M69" s="47"/>
      <c r="N69" s="46"/>
    </row>
    <row r="70" spans="1:14" ht="21.75" customHeight="1" x14ac:dyDescent="0.3">
      <c r="A70" s="115" t="str">
        <f t="shared" si="1"/>
        <v/>
      </c>
      <c r="B70" s="101"/>
      <c r="C70" s="58"/>
      <c r="D70" s="58"/>
      <c r="E70" s="58"/>
      <c r="F70" s="54"/>
      <c r="G70" s="58"/>
      <c r="H70" s="101"/>
      <c r="I70" s="97"/>
      <c r="J70" s="54"/>
      <c r="K70" s="54"/>
      <c r="L70" s="54"/>
      <c r="M70" s="54"/>
      <c r="N70" s="58"/>
    </row>
    <row r="71" spans="1:14" ht="21.75" customHeight="1" x14ac:dyDescent="0.3">
      <c r="A71" s="114" t="str">
        <f t="shared" si="1"/>
        <v/>
      </c>
      <c r="B71" s="93"/>
      <c r="C71" s="46"/>
      <c r="D71" s="46"/>
      <c r="E71" s="46"/>
      <c r="F71" s="47"/>
      <c r="G71" s="46"/>
      <c r="H71" s="93"/>
      <c r="I71" s="89"/>
      <c r="J71" s="47"/>
      <c r="K71" s="47"/>
      <c r="L71" s="47"/>
      <c r="M71" s="47"/>
      <c r="N71" s="46"/>
    </row>
    <row r="72" spans="1:14" ht="21.75" customHeight="1" x14ac:dyDescent="0.3">
      <c r="A72" s="115" t="str">
        <f t="shared" si="1"/>
        <v/>
      </c>
      <c r="B72" s="101"/>
      <c r="C72" s="58"/>
      <c r="D72" s="58"/>
      <c r="E72" s="58"/>
      <c r="F72" s="54"/>
      <c r="G72" s="58"/>
      <c r="H72" s="101"/>
      <c r="I72" s="97"/>
      <c r="J72" s="54"/>
      <c r="K72" s="54"/>
      <c r="L72" s="54"/>
      <c r="M72" s="54"/>
      <c r="N72" s="58"/>
    </row>
    <row r="73" spans="1:14" ht="21.75" customHeight="1" x14ac:dyDescent="0.3">
      <c r="A73" s="114" t="str">
        <f t="shared" si="1"/>
        <v/>
      </c>
      <c r="B73" s="93"/>
      <c r="C73" s="46"/>
      <c r="D73" s="46"/>
      <c r="E73" s="46"/>
      <c r="F73" s="47"/>
      <c r="G73" s="46"/>
      <c r="H73" s="93"/>
      <c r="I73" s="89"/>
      <c r="J73" s="47"/>
      <c r="K73" s="47"/>
      <c r="L73" s="47"/>
      <c r="M73" s="47"/>
      <c r="N73" s="46"/>
    </row>
    <row r="74" spans="1:14" ht="21.75" customHeight="1" x14ac:dyDescent="0.3">
      <c r="A74" s="115" t="str">
        <f t="shared" si="1"/>
        <v/>
      </c>
      <c r="B74" s="101"/>
      <c r="C74" s="58"/>
      <c r="D74" s="58"/>
      <c r="E74" s="58"/>
      <c r="F74" s="54"/>
      <c r="G74" s="58"/>
      <c r="H74" s="101"/>
      <c r="I74" s="97"/>
      <c r="J74" s="54"/>
      <c r="K74" s="54"/>
      <c r="L74" s="54"/>
      <c r="M74" s="54"/>
      <c r="N74" s="58"/>
    </row>
    <row r="75" spans="1:14" ht="21.75" customHeight="1" x14ac:dyDescent="0.3">
      <c r="A75" s="114" t="str">
        <f t="shared" si="1"/>
        <v/>
      </c>
      <c r="B75" s="93"/>
      <c r="C75" s="46"/>
      <c r="D75" s="46"/>
      <c r="E75" s="46"/>
      <c r="F75" s="47"/>
      <c r="G75" s="46"/>
      <c r="H75" s="93"/>
      <c r="I75" s="89"/>
      <c r="J75" s="47"/>
      <c r="K75" s="47"/>
      <c r="L75" s="47"/>
      <c r="M75" s="47"/>
      <c r="N75" s="46"/>
    </row>
    <row r="76" spans="1:14" ht="21.75" customHeight="1" x14ac:dyDescent="0.3">
      <c r="A76" s="115" t="str">
        <f t="shared" si="1"/>
        <v/>
      </c>
      <c r="B76" s="101"/>
      <c r="C76" s="58"/>
      <c r="D76" s="58"/>
      <c r="E76" s="58"/>
      <c r="F76" s="54"/>
      <c r="G76" s="58"/>
      <c r="H76" s="101"/>
      <c r="I76" s="97"/>
      <c r="J76" s="54"/>
      <c r="K76" s="54"/>
      <c r="L76" s="54"/>
      <c r="M76" s="54"/>
      <c r="N76" s="58"/>
    </row>
    <row r="77" spans="1:14" ht="21.75" customHeight="1" x14ac:dyDescent="0.3">
      <c r="A77" s="114" t="str">
        <f t="shared" si="1"/>
        <v/>
      </c>
      <c r="B77" s="93"/>
      <c r="C77" s="46"/>
      <c r="D77" s="46"/>
      <c r="E77" s="46"/>
      <c r="F77" s="47"/>
      <c r="G77" s="46"/>
      <c r="H77" s="93"/>
      <c r="I77" s="89"/>
      <c r="J77" s="47"/>
      <c r="K77" s="47"/>
      <c r="L77" s="47"/>
      <c r="M77" s="47"/>
      <c r="N77" s="46"/>
    </row>
    <row r="78" spans="1:14" ht="21.75" customHeight="1" x14ac:dyDescent="0.3">
      <c r="A78" s="115" t="str">
        <f t="shared" si="1"/>
        <v/>
      </c>
      <c r="B78" s="101"/>
      <c r="C78" s="58"/>
      <c r="D78" s="58"/>
      <c r="E78" s="58"/>
      <c r="F78" s="54"/>
      <c r="G78" s="58"/>
      <c r="H78" s="101"/>
      <c r="I78" s="97"/>
      <c r="J78" s="54"/>
      <c r="K78" s="54"/>
      <c r="L78" s="54"/>
      <c r="M78" s="54"/>
      <c r="N78" s="58"/>
    </row>
    <row r="79" spans="1:14" ht="21.75" customHeight="1" x14ac:dyDescent="0.3">
      <c r="A79" s="114" t="str">
        <f t="shared" si="1"/>
        <v/>
      </c>
      <c r="B79" s="93"/>
      <c r="C79" s="46"/>
      <c r="D79" s="46"/>
      <c r="E79" s="46"/>
      <c r="F79" s="47"/>
      <c r="G79" s="46"/>
      <c r="H79" s="93"/>
      <c r="I79" s="89"/>
      <c r="J79" s="47"/>
      <c r="K79" s="47"/>
      <c r="L79" s="47"/>
      <c r="M79" s="47"/>
      <c r="N79" s="46"/>
    </row>
    <row r="80" spans="1:14" ht="21.75" customHeight="1" x14ac:dyDescent="0.3">
      <c r="A80" s="115" t="str">
        <f t="shared" si="1"/>
        <v/>
      </c>
      <c r="B80" s="101"/>
      <c r="C80" s="58"/>
      <c r="D80" s="58"/>
      <c r="E80" s="58"/>
      <c r="F80" s="54"/>
      <c r="G80" s="58"/>
      <c r="H80" s="101"/>
      <c r="I80" s="97"/>
      <c r="J80" s="54"/>
      <c r="K80" s="54"/>
      <c r="L80" s="54"/>
      <c r="M80" s="54"/>
      <c r="N80" s="58"/>
    </row>
    <row r="81" spans="1:14" ht="21.75" customHeight="1" x14ac:dyDescent="0.3">
      <c r="A81" s="114" t="str">
        <f t="shared" si="1"/>
        <v/>
      </c>
      <c r="B81" s="93"/>
      <c r="C81" s="46"/>
      <c r="D81" s="46"/>
      <c r="E81" s="46"/>
      <c r="F81" s="47"/>
      <c r="G81" s="46"/>
      <c r="H81" s="93"/>
      <c r="I81" s="89"/>
      <c r="J81" s="47"/>
      <c r="K81" s="47"/>
      <c r="L81" s="47"/>
      <c r="M81" s="47"/>
      <c r="N81" s="46"/>
    </row>
    <row r="82" spans="1:14" ht="21.75" customHeight="1" x14ac:dyDescent="0.3">
      <c r="A82" s="115" t="str">
        <f t="shared" si="1"/>
        <v/>
      </c>
      <c r="B82" s="101"/>
      <c r="C82" s="58"/>
      <c r="D82" s="58"/>
      <c r="E82" s="58"/>
      <c r="F82" s="54"/>
      <c r="G82" s="58"/>
      <c r="H82" s="101"/>
      <c r="I82" s="97"/>
      <c r="J82" s="54"/>
      <c r="K82" s="54"/>
      <c r="L82" s="54"/>
      <c r="M82" s="54"/>
      <c r="N82" s="58"/>
    </row>
    <row r="83" spans="1:14" ht="21.75" customHeight="1" x14ac:dyDescent="0.3">
      <c r="A83" s="114" t="str">
        <f t="shared" si="1"/>
        <v/>
      </c>
      <c r="B83" s="93"/>
      <c r="C83" s="46"/>
      <c r="D83" s="46"/>
      <c r="E83" s="46"/>
      <c r="F83" s="47"/>
      <c r="G83" s="46"/>
      <c r="H83" s="93"/>
      <c r="I83" s="89"/>
      <c r="J83" s="47"/>
      <c r="K83" s="47"/>
      <c r="L83" s="47"/>
      <c r="M83" s="47"/>
      <c r="N83" s="46"/>
    </row>
    <row r="84" spans="1:14" ht="21.75" customHeight="1" x14ac:dyDescent="0.3">
      <c r="A84" s="115" t="str">
        <f t="shared" si="1"/>
        <v/>
      </c>
      <c r="B84" s="101"/>
      <c r="C84" s="58"/>
      <c r="D84" s="58"/>
      <c r="E84" s="58"/>
      <c r="F84" s="54"/>
      <c r="G84" s="58"/>
      <c r="H84" s="101"/>
      <c r="I84" s="97"/>
      <c r="J84" s="54"/>
      <c r="K84" s="54"/>
      <c r="L84" s="54"/>
      <c r="M84" s="54"/>
      <c r="N84" s="58"/>
    </row>
    <row r="85" spans="1:14" ht="21.75" customHeight="1" x14ac:dyDescent="0.3">
      <c r="A85" s="114" t="str">
        <f t="shared" si="1"/>
        <v/>
      </c>
      <c r="B85" s="93"/>
      <c r="C85" s="46"/>
      <c r="D85" s="46"/>
      <c r="E85" s="46"/>
      <c r="F85" s="47"/>
      <c r="G85" s="46"/>
      <c r="H85" s="93"/>
      <c r="I85" s="89"/>
      <c r="J85" s="47"/>
      <c r="K85" s="47"/>
      <c r="L85" s="47"/>
      <c r="M85" s="47"/>
      <c r="N85" s="46"/>
    </row>
    <row r="86" spans="1:14" ht="21.75" customHeight="1" x14ac:dyDescent="0.3">
      <c r="A86" s="115" t="str">
        <f t="shared" si="1"/>
        <v/>
      </c>
      <c r="B86" s="101"/>
      <c r="C86" s="58"/>
      <c r="D86" s="58"/>
      <c r="E86" s="58"/>
      <c r="F86" s="54"/>
      <c r="G86" s="58"/>
      <c r="H86" s="101"/>
      <c r="I86" s="97"/>
      <c r="J86" s="54"/>
      <c r="K86" s="54"/>
      <c r="L86" s="54"/>
      <c r="M86" s="54"/>
      <c r="N86" s="58"/>
    </row>
    <row r="87" spans="1:14" ht="21.75" customHeight="1" x14ac:dyDescent="0.3">
      <c r="A87" s="114" t="str">
        <f t="shared" si="1"/>
        <v/>
      </c>
      <c r="B87" s="93"/>
      <c r="C87" s="46"/>
      <c r="D87" s="46"/>
      <c r="E87" s="46"/>
      <c r="F87" s="47"/>
      <c r="G87" s="46"/>
      <c r="H87" s="93"/>
      <c r="I87" s="89"/>
      <c r="J87" s="47"/>
      <c r="K87" s="47"/>
      <c r="L87" s="47"/>
      <c r="M87" s="47"/>
      <c r="N87" s="46"/>
    </row>
    <row r="88" spans="1:14" ht="21.75" customHeight="1" x14ac:dyDescent="0.3">
      <c r="A88" s="115" t="str">
        <f t="shared" si="1"/>
        <v/>
      </c>
      <c r="B88" s="101"/>
      <c r="C88" s="58"/>
      <c r="D88" s="58"/>
      <c r="E88" s="58"/>
      <c r="F88" s="54"/>
      <c r="G88" s="58"/>
      <c r="H88" s="101"/>
      <c r="I88" s="97"/>
      <c r="J88" s="54"/>
      <c r="K88" s="54"/>
      <c r="L88" s="54"/>
      <c r="M88" s="54"/>
      <c r="N88" s="58"/>
    </row>
    <row r="89" spans="1:14" ht="21.75" customHeight="1" x14ac:dyDescent="0.3">
      <c r="A89" s="114" t="str">
        <f t="shared" si="1"/>
        <v/>
      </c>
      <c r="B89" s="93"/>
      <c r="C89" s="46"/>
      <c r="D89" s="46"/>
      <c r="E89" s="46"/>
      <c r="F89" s="47"/>
      <c r="G89" s="46"/>
      <c r="H89" s="93"/>
      <c r="I89" s="89"/>
      <c r="J89" s="47"/>
      <c r="K89" s="47"/>
      <c r="L89" s="47"/>
      <c r="M89" s="47"/>
      <c r="N89" s="46"/>
    </row>
    <row r="90" spans="1:14" ht="21.75" customHeight="1" x14ac:dyDescent="0.3">
      <c r="A90" s="115" t="str">
        <f t="shared" si="1"/>
        <v/>
      </c>
      <c r="B90" s="101"/>
      <c r="C90" s="58"/>
      <c r="D90" s="58"/>
      <c r="E90" s="58"/>
      <c r="F90" s="54"/>
      <c r="G90" s="58"/>
      <c r="H90" s="101"/>
      <c r="I90" s="97"/>
      <c r="J90" s="54"/>
      <c r="K90" s="54"/>
      <c r="L90" s="54"/>
      <c r="M90" s="54"/>
      <c r="N90" s="58"/>
    </row>
    <row r="91" spans="1:14" ht="21.75" customHeight="1" x14ac:dyDescent="0.3">
      <c r="A91" s="114" t="str">
        <f t="shared" si="1"/>
        <v/>
      </c>
      <c r="B91" s="93"/>
      <c r="C91" s="46"/>
      <c r="D91" s="46"/>
      <c r="E91" s="46"/>
      <c r="F91" s="47"/>
      <c r="G91" s="46"/>
      <c r="H91" s="93"/>
      <c r="I91" s="89"/>
      <c r="J91" s="47"/>
      <c r="K91" s="47"/>
      <c r="L91" s="47"/>
      <c r="M91" s="47"/>
      <c r="N91" s="46"/>
    </row>
    <row r="92" spans="1:14" ht="21.75" customHeight="1" x14ac:dyDescent="0.3">
      <c r="A92" s="115" t="str">
        <f t="shared" si="1"/>
        <v/>
      </c>
      <c r="B92" s="101"/>
      <c r="C92" s="58"/>
      <c r="D92" s="58"/>
      <c r="E92" s="58"/>
      <c r="F92" s="54"/>
      <c r="G92" s="58"/>
      <c r="H92" s="101"/>
      <c r="I92" s="97"/>
      <c r="J92" s="54"/>
      <c r="K92" s="54"/>
      <c r="L92" s="54"/>
      <c r="M92" s="54"/>
      <c r="N92" s="58"/>
    </row>
    <row r="93" spans="1:14" ht="21.75" customHeight="1" x14ac:dyDescent="0.3">
      <c r="A93" s="114" t="str">
        <f t="shared" si="1"/>
        <v/>
      </c>
      <c r="B93" s="93"/>
      <c r="C93" s="46"/>
      <c r="D93" s="46"/>
      <c r="E93" s="46"/>
      <c r="F93" s="47"/>
      <c r="G93" s="46"/>
      <c r="H93" s="93"/>
      <c r="I93" s="89"/>
      <c r="J93" s="47"/>
      <c r="K93" s="47"/>
      <c r="L93" s="47"/>
      <c r="M93" s="47"/>
      <c r="N93" s="46"/>
    </row>
    <row r="94" spans="1:14" ht="21.75" customHeight="1" x14ac:dyDescent="0.3">
      <c r="A94" s="115" t="str">
        <f t="shared" si="1"/>
        <v/>
      </c>
      <c r="B94" s="101"/>
      <c r="C94" s="58"/>
      <c r="D94" s="58"/>
      <c r="E94" s="58"/>
      <c r="F94" s="54"/>
      <c r="G94" s="58"/>
      <c r="H94" s="101"/>
      <c r="I94" s="97"/>
      <c r="J94" s="54"/>
      <c r="K94" s="54"/>
      <c r="L94" s="54"/>
      <c r="M94" s="54"/>
      <c r="N94" s="58"/>
    </row>
    <row r="95" spans="1:14" ht="21.75" customHeight="1" x14ac:dyDescent="0.3">
      <c r="A95" s="114" t="str">
        <f t="shared" si="1"/>
        <v/>
      </c>
      <c r="B95" s="93"/>
      <c r="C95" s="46"/>
      <c r="D95" s="46"/>
      <c r="E95" s="46"/>
      <c r="F95" s="47"/>
      <c r="G95" s="46"/>
      <c r="H95" s="93"/>
      <c r="I95" s="89"/>
      <c r="J95" s="47"/>
      <c r="K95" s="47"/>
      <c r="L95" s="47"/>
      <c r="M95" s="47"/>
      <c r="N95" s="46"/>
    </row>
    <row r="96" spans="1:14" ht="21.75" customHeight="1" x14ac:dyDescent="0.3">
      <c r="A96" s="115" t="str">
        <f t="shared" si="1"/>
        <v/>
      </c>
      <c r="B96" s="101"/>
      <c r="C96" s="58"/>
      <c r="D96" s="58"/>
      <c r="E96" s="58"/>
      <c r="F96" s="54"/>
      <c r="G96" s="58"/>
      <c r="H96" s="101"/>
      <c r="I96" s="97"/>
      <c r="J96" s="54"/>
      <c r="K96" s="54"/>
      <c r="L96" s="54"/>
      <c r="M96" s="54"/>
      <c r="N96" s="58"/>
    </row>
    <row r="97" spans="1:14" ht="21.75" customHeight="1" x14ac:dyDescent="0.3">
      <c r="A97" s="114" t="str">
        <f t="shared" si="1"/>
        <v/>
      </c>
      <c r="B97" s="93"/>
      <c r="C97" s="46"/>
      <c r="D97" s="46"/>
      <c r="E97" s="46"/>
      <c r="F97" s="47"/>
      <c r="G97" s="46"/>
      <c r="H97" s="93"/>
      <c r="I97" s="89"/>
      <c r="J97" s="47"/>
      <c r="K97" s="47"/>
      <c r="L97" s="47"/>
      <c r="M97" s="47"/>
      <c r="N97" s="46"/>
    </row>
    <row r="98" spans="1:14" ht="21.75" customHeight="1" x14ac:dyDescent="0.3">
      <c r="A98" s="115" t="str">
        <f t="shared" si="1"/>
        <v/>
      </c>
      <c r="B98" s="101"/>
      <c r="C98" s="58"/>
      <c r="D98" s="58"/>
      <c r="E98" s="58"/>
      <c r="F98" s="54"/>
      <c r="G98" s="58"/>
      <c r="H98" s="101"/>
      <c r="I98" s="97"/>
      <c r="J98" s="54"/>
      <c r="K98" s="54"/>
      <c r="L98" s="54"/>
      <c r="M98" s="54"/>
      <c r="N98" s="58"/>
    </row>
    <row r="99" spans="1:14" ht="21.75" customHeight="1" x14ac:dyDescent="0.3">
      <c r="A99" s="114" t="str">
        <f t="shared" si="1"/>
        <v/>
      </c>
      <c r="B99" s="93"/>
      <c r="C99" s="46"/>
      <c r="D99" s="46"/>
      <c r="E99" s="46"/>
      <c r="F99" s="47"/>
      <c r="G99" s="46"/>
      <c r="H99" s="93"/>
      <c r="I99" s="89"/>
      <c r="J99" s="47"/>
      <c r="K99" s="47"/>
      <c r="L99" s="47"/>
      <c r="M99" s="47"/>
      <c r="N99" s="46"/>
    </row>
    <row r="100" spans="1:14" ht="21.75" customHeight="1" x14ac:dyDescent="0.3">
      <c r="A100" s="115" t="str">
        <f t="shared" si="1"/>
        <v/>
      </c>
      <c r="B100" s="101"/>
      <c r="C100" s="58"/>
      <c r="D100" s="58"/>
      <c r="E100" s="58"/>
      <c r="F100" s="54"/>
      <c r="G100" s="58"/>
      <c r="H100" s="101"/>
      <c r="I100" s="97"/>
      <c r="J100" s="54"/>
      <c r="K100" s="54"/>
      <c r="L100" s="54"/>
      <c r="M100" s="54"/>
      <c r="N100" s="58"/>
    </row>
    <row r="101" spans="1:14" ht="21.75" customHeight="1" x14ac:dyDescent="0.3">
      <c r="A101" s="114" t="str">
        <f t="shared" si="1"/>
        <v/>
      </c>
      <c r="B101" s="93"/>
      <c r="C101" s="46"/>
      <c r="D101" s="46"/>
      <c r="E101" s="46"/>
      <c r="F101" s="47"/>
      <c r="G101" s="46"/>
      <c r="H101" s="93"/>
      <c r="I101" s="89"/>
      <c r="J101" s="47"/>
      <c r="K101" s="47"/>
      <c r="L101" s="47"/>
      <c r="M101" s="47"/>
      <c r="N101" s="46"/>
    </row>
    <row r="102" spans="1:14" ht="21.75" customHeight="1" x14ac:dyDescent="0.3">
      <c r="A102" s="115" t="str">
        <f t="shared" si="1"/>
        <v/>
      </c>
      <c r="B102" s="101"/>
      <c r="C102" s="58"/>
      <c r="D102" s="58"/>
      <c r="E102" s="58"/>
      <c r="F102" s="54"/>
      <c r="G102" s="58"/>
      <c r="H102" s="101"/>
      <c r="I102" s="97"/>
      <c r="J102" s="54"/>
      <c r="K102" s="54"/>
      <c r="L102" s="54"/>
      <c r="M102" s="54"/>
      <c r="N102" s="58"/>
    </row>
    <row r="103" spans="1:14" ht="21.75" customHeight="1" x14ac:dyDescent="0.3">
      <c r="A103" s="114" t="str">
        <f t="shared" si="1"/>
        <v/>
      </c>
      <c r="B103" s="93"/>
      <c r="C103" s="46"/>
      <c r="D103" s="46"/>
      <c r="E103" s="46"/>
      <c r="F103" s="47"/>
      <c r="G103" s="46"/>
      <c r="H103" s="93"/>
      <c r="I103" s="89"/>
      <c r="J103" s="47"/>
      <c r="K103" s="47"/>
      <c r="L103" s="47"/>
      <c r="M103" s="47"/>
      <c r="N103" s="46"/>
    </row>
    <row r="104" spans="1:14" ht="21.75" customHeight="1" x14ac:dyDescent="0.3">
      <c r="A104" s="115" t="str">
        <f t="shared" si="1"/>
        <v/>
      </c>
      <c r="B104" s="101"/>
      <c r="C104" s="58"/>
      <c r="D104" s="58"/>
      <c r="E104" s="58"/>
      <c r="F104" s="54"/>
      <c r="G104" s="58"/>
      <c r="H104" s="101"/>
      <c r="I104" s="97"/>
      <c r="J104" s="54"/>
      <c r="K104" s="54"/>
      <c r="L104" s="54"/>
      <c r="M104" s="54"/>
      <c r="N104" s="58"/>
    </row>
    <row r="105" spans="1:14" ht="21.75" customHeight="1" x14ac:dyDescent="0.3">
      <c r="A105" s="114" t="str">
        <f t="shared" si="1"/>
        <v/>
      </c>
      <c r="B105" s="93"/>
      <c r="C105" s="46"/>
      <c r="D105" s="46"/>
      <c r="E105" s="46"/>
      <c r="F105" s="47"/>
      <c r="G105" s="46"/>
      <c r="H105" s="93"/>
      <c r="I105" s="89"/>
      <c r="J105" s="47"/>
      <c r="K105" s="47"/>
      <c r="L105" s="47"/>
      <c r="M105" s="47"/>
      <c r="N105" s="46"/>
    </row>
    <row r="106" spans="1:14" ht="21.75" customHeight="1" x14ac:dyDescent="0.3">
      <c r="A106" s="115" t="str">
        <f t="shared" si="1"/>
        <v/>
      </c>
      <c r="B106" s="101"/>
      <c r="C106" s="58"/>
      <c r="D106" s="58"/>
      <c r="E106" s="58"/>
      <c r="F106" s="54"/>
      <c r="G106" s="58"/>
      <c r="H106" s="101"/>
      <c r="I106" s="97"/>
      <c r="J106" s="54"/>
      <c r="K106" s="54"/>
      <c r="L106" s="54"/>
      <c r="M106" s="54"/>
      <c r="N106" s="58"/>
    </row>
    <row r="107" spans="1:14" ht="21.75" customHeight="1" x14ac:dyDescent="0.3">
      <c r="A107" s="114" t="str">
        <f t="shared" si="1"/>
        <v/>
      </c>
      <c r="B107" s="93"/>
      <c r="C107" s="46"/>
      <c r="D107" s="46"/>
      <c r="E107" s="46"/>
      <c r="F107" s="47"/>
      <c r="G107" s="46"/>
      <c r="H107" s="93"/>
      <c r="I107" s="89"/>
      <c r="J107" s="47"/>
      <c r="K107" s="47"/>
      <c r="L107" s="47"/>
      <c r="M107" s="47"/>
      <c r="N107" s="46"/>
    </row>
    <row r="108" spans="1:14" ht="21.75" customHeight="1" x14ac:dyDescent="0.3">
      <c r="A108" s="115" t="str">
        <f t="shared" si="1"/>
        <v/>
      </c>
      <c r="B108" s="101"/>
      <c r="C108" s="58"/>
      <c r="D108" s="58"/>
      <c r="E108" s="58"/>
      <c r="F108" s="54"/>
      <c r="G108" s="58"/>
      <c r="H108" s="101"/>
      <c r="I108" s="97"/>
      <c r="J108" s="54"/>
      <c r="K108" s="54"/>
      <c r="L108" s="54"/>
      <c r="M108" s="54"/>
      <c r="N108" s="58"/>
    </row>
    <row r="109" spans="1:14" ht="21.75" customHeight="1" x14ac:dyDescent="0.3">
      <c r="A109" s="114" t="str">
        <f t="shared" si="1"/>
        <v/>
      </c>
      <c r="B109" s="93"/>
      <c r="C109" s="46"/>
      <c r="D109" s="46"/>
      <c r="E109" s="46"/>
      <c r="F109" s="47"/>
      <c r="G109" s="46"/>
      <c r="H109" s="93"/>
      <c r="I109" s="89"/>
      <c r="J109" s="47"/>
      <c r="K109" s="47"/>
      <c r="L109" s="47"/>
      <c r="M109" s="47"/>
      <c r="N109" s="46"/>
    </row>
    <row r="110" spans="1:14" ht="21.75" customHeight="1" x14ac:dyDescent="0.3">
      <c r="A110" s="115" t="str">
        <f t="shared" si="1"/>
        <v/>
      </c>
      <c r="B110" s="101"/>
      <c r="C110" s="58"/>
      <c r="D110" s="58"/>
      <c r="E110" s="58"/>
      <c r="F110" s="54"/>
      <c r="G110" s="58"/>
      <c r="H110" s="101"/>
      <c r="I110" s="97"/>
      <c r="J110" s="54"/>
      <c r="K110" s="54"/>
      <c r="L110" s="54"/>
      <c r="M110" s="54"/>
      <c r="N110" s="58"/>
    </row>
    <row r="111" spans="1:14" ht="21.75" customHeight="1" x14ac:dyDescent="0.3">
      <c r="A111" s="114" t="str">
        <f t="shared" si="1"/>
        <v/>
      </c>
      <c r="B111" s="93"/>
      <c r="C111" s="46"/>
      <c r="D111" s="46"/>
      <c r="E111" s="46"/>
      <c r="F111" s="47"/>
      <c r="G111" s="46"/>
      <c r="H111" s="93"/>
      <c r="I111" s="89"/>
      <c r="J111" s="47"/>
      <c r="K111" s="47"/>
      <c r="L111" s="47"/>
      <c r="M111" s="47"/>
      <c r="N111" s="46"/>
    </row>
    <row r="112" spans="1:14" ht="21.75" customHeight="1" x14ac:dyDescent="0.3">
      <c r="A112" s="115" t="str">
        <f t="shared" si="1"/>
        <v/>
      </c>
      <c r="B112" s="101"/>
      <c r="C112" s="58"/>
      <c r="D112" s="58"/>
      <c r="E112" s="58"/>
      <c r="F112" s="54"/>
      <c r="G112" s="58"/>
      <c r="H112" s="101"/>
      <c r="I112" s="97"/>
      <c r="J112" s="54"/>
      <c r="K112" s="54"/>
      <c r="L112" s="54"/>
      <c r="M112" s="54"/>
      <c r="N112" s="58"/>
    </row>
    <row r="113" spans="1:14" ht="21.75" customHeight="1" x14ac:dyDescent="0.3">
      <c r="A113" s="114" t="str">
        <f t="shared" si="1"/>
        <v/>
      </c>
      <c r="B113" s="93"/>
      <c r="C113" s="46"/>
      <c r="D113" s="46"/>
      <c r="E113" s="46"/>
      <c r="F113" s="47"/>
      <c r="G113" s="46"/>
      <c r="H113" s="93"/>
      <c r="I113" s="89"/>
      <c r="J113" s="47"/>
      <c r="K113" s="47"/>
      <c r="L113" s="47"/>
      <c r="M113" s="47"/>
      <c r="N113" s="46"/>
    </row>
    <row r="114" spans="1:14" ht="21.75" customHeight="1" x14ac:dyDescent="0.3">
      <c r="A114" s="115" t="str">
        <f t="shared" si="1"/>
        <v/>
      </c>
      <c r="B114" s="101"/>
      <c r="C114" s="58"/>
      <c r="D114" s="58"/>
      <c r="E114" s="58"/>
      <c r="F114" s="54"/>
      <c r="G114" s="58"/>
      <c r="H114" s="101"/>
      <c r="I114" s="97"/>
      <c r="J114" s="54"/>
      <c r="K114" s="54"/>
      <c r="L114" s="54"/>
      <c r="M114" s="54"/>
      <c r="N114" s="58"/>
    </row>
    <row r="115" spans="1:14" ht="21.75" customHeight="1" x14ac:dyDescent="0.3">
      <c r="A115" s="114" t="str">
        <f t="shared" si="1"/>
        <v/>
      </c>
      <c r="B115" s="93"/>
      <c r="C115" s="46"/>
      <c r="D115" s="46"/>
      <c r="E115" s="46"/>
      <c r="F115" s="47"/>
      <c r="G115" s="46"/>
      <c r="H115" s="93"/>
      <c r="I115" s="89"/>
      <c r="J115" s="47"/>
      <c r="K115" s="47"/>
      <c r="L115" s="47"/>
      <c r="M115" s="47"/>
      <c r="N115" s="46"/>
    </row>
    <row r="116" spans="1:14" ht="21.75" customHeight="1" x14ac:dyDescent="0.3">
      <c r="A116" s="115" t="str">
        <f t="shared" si="1"/>
        <v/>
      </c>
      <c r="B116" s="101"/>
      <c r="C116" s="58"/>
      <c r="D116" s="58"/>
      <c r="E116" s="58"/>
      <c r="F116" s="54"/>
      <c r="G116" s="58"/>
      <c r="H116" s="101"/>
      <c r="I116" s="97"/>
      <c r="J116" s="54"/>
      <c r="K116" s="54"/>
      <c r="L116" s="54"/>
      <c r="M116" s="54"/>
      <c r="N116" s="58"/>
    </row>
    <row r="117" spans="1:14" ht="21.75" customHeight="1" x14ac:dyDescent="0.3">
      <c r="A117" s="114" t="str">
        <f t="shared" si="1"/>
        <v/>
      </c>
      <c r="B117" s="93"/>
      <c r="C117" s="46"/>
      <c r="D117" s="46"/>
      <c r="E117" s="46"/>
      <c r="F117" s="47"/>
      <c r="G117" s="46"/>
      <c r="H117" s="93"/>
      <c r="I117" s="89"/>
      <c r="J117" s="47"/>
      <c r="K117" s="47"/>
      <c r="L117" s="47"/>
      <c r="M117" s="47"/>
      <c r="N117" s="46"/>
    </row>
    <row r="118" spans="1:14" ht="21.75" customHeight="1" x14ac:dyDescent="0.3">
      <c r="A118" s="115" t="str">
        <f t="shared" si="1"/>
        <v/>
      </c>
      <c r="B118" s="101"/>
      <c r="C118" s="58"/>
      <c r="D118" s="58"/>
      <c r="E118" s="58"/>
      <c r="F118" s="54"/>
      <c r="G118" s="58"/>
      <c r="H118" s="101"/>
      <c r="I118" s="97"/>
      <c r="J118" s="54"/>
      <c r="K118" s="54"/>
      <c r="L118" s="54"/>
      <c r="M118" s="54"/>
      <c r="N118" s="58"/>
    </row>
    <row r="119" spans="1:14" ht="21.75" customHeight="1" x14ac:dyDescent="0.3">
      <c r="A119" s="114" t="str">
        <f t="shared" si="1"/>
        <v/>
      </c>
      <c r="B119" s="93"/>
      <c r="C119" s="46"/>
      <c r="D119" s="46"/>
      <c r="E119" s="46"/>
      <c r="F119" s="47"/>
      <c r="G119" s="46"/>
      <c r="H119" s="93"/>
      <c r="I119" s="89"/>
      <c r="J119" s="47"/>
      <c r="K119" s="47"/>
      <c r="L119" s="47"/>
      <c r="M119" s="47"/>
      <c r="N119" s="46"/>
    </row>
    <row r="120" spans="1:14" ht="21.75" customHeight="1" x14ac:dyDescent="0.3">
      <c r="A120" s="115" t="str">
        <f t="shared" si="1"/>
        <v/>
      </c>
      <c r="B120" s="101"/>
      <c r="C120" s="58"/>
      <c r="D120" s="58"/>
      <c r="E120" s="58"/>
      <c r="F120" s="54"/>
      <c r="G120" s="58"/>
      <c r="H120" s="101"/>
      <c r="I120" s="97"/>
      <c r="J120" s="54"/>
      <c r="K120" s="54"/>
      <c r="L120" s="54"/>
      <c r="M120" s="54"/>
      <c r="N120" s="58"/>
    </row>
    <row r="121" spans="1:14" ht="21.75" customHeight="1" x14ac:dyDescent="0.3">
      <c r="A121" s="114" t="str">
        <f t="shared" si="1"/>
        <v/>
      </c>
      <c r="B121" s="93"/>
      <c r="C121" s="46"/>
      <c r="D121" s="46"/>
      <c r="E121" s="46"/>
      <c r="F121" s="47"/>
      <c r="G121" s="46"/>
      <c r="H121" s="93"/>
      <c r="I121" s="89"/>
      <c r="J121" s="47"/>
      <c r="K121" s="47"/>
      <c r="L121" s="47"/>
      <c r="M121" s="47"/>
      <c r="N121" s="46"/>
    </row>
    <row r="122" spans="1:14" ht="21.75" customHeight="1" x14ac:dyDescent="0.3">
      <c r="A122" s="115" t="str">
        <f t="shared" si="1"/>
        <v/>
      </c>
      <c r="B122" s="101"/>
      <c r="C122" s="58"/>
      <c r="D122" s="58"/>
      <c r="E122" s="58"/>
      <c r="F122" s="54"/>
      <c r="G122" s="58"/>
      <c r="H122" s="101"/>
      <c r="I122" s="97"/>
      <c r="J122" s="54"/>
      <c r="K122" s="54"/>
      <c r="L122" s="54"/>
      <c r="M122" s="54"/>
      <c r="N122" s="58"/>
    </row>
    <row r="123" spans="1:14" ht="21.75" customHeight="1" x14ac:dyDescent="0.3">
      <c r="A123" s="114" t="str">
        <f t="shared" si="1"/>
        <v/>
      </c>
      <c r="B123" s="93"/>
      <c r="C123" s="46"/>
      <c r="D123" s="46"/>
      <c r="E123" s="46"/>
      <c r="F123" s="47"/>
      <c r="G123" s="46"/>
      <c r="H123" s="93"/>
      <c r="I123" s="89"/>
      <c r="J123" s="47"/>
      <c r="K123" s="47"/>
      <c r="L123" s="47"/>
      <c r="M123" s="47"/>
      <c r="N123" s="46"/>
    </row>
    <row r="124" spans="1:14" ht="21.75" customHeight="1" x14ac:dyDescent="0.3">
      <c r="A124" s="115" t="str">
        <f t="shared" si="1"/>
        <v/>
      </c>
      <c r="B124" s="101"/>
      <c r="C124" s="58"/>
      <c r="D124" s="58"/>
      <c r="E124" s="58"/>
      <c r="F124" s="54"/>
      <c r="G124" s="58"/>
      <c r="H124" s="101"/>
      <c r="I124" s="97"/>
      <c r="J124" s="54"/>
      <c r="K124" s="54"/>
      <c r="L124" s="54"/>
      <c r="M124" s="54"/>
      <c r="N124" s="58"/>
    </row>
    <row r="125" spans="1:14" ht="21.75" customHeight="1" x14ac:dyDescent="0.3">
      <c r="A125" s="114" t="str">
        <f t="shared" si="1"/>
        <v/>
      </c>
      <c r="B125" s="93"/>
      <c r="C125" s="46"/>
      <c r="D125" s="46"/>
      <c r="E125" s="46"/>
      <c r="F125" s="47"/>
      <c r="G125" s="46"/>
      <c r="H125" s="93"/>
      <c r="I125" s="89"/>
      <c r="J125" s="47"/>
      <c r="K125" s="47"/>
      <c r="L125" s="47"/>
      <c r="M125" s="47"/>
      <c r="N125" s="46"/>
    </row>
    <row r="126" spans="1:14" ht="21.75" customHeight="1" x14ac:dyDescent="0.3">
      <c r="A126" s="115" t="str">
        <f t="shared" si="1"/>
        <v/>
      </c>
      <c r="B126" s="101"/>
      <c r="C126" s="58"/>
      <c r="D126" s="58"/>
      <c r="E126" s="58"/>
      <c r="F126" s="54"/>
      <c r="G126" s="58"/>
      <c r="H126" s="101"/>
      <c r="I126" s="97"/>
      <c r="J126" s="54"/>
      <c r="K126" s="54"/>
      <c r="L126" s="54"/>
      <c r="M126" s="54"/>
      <c r="N126" s="58"/>
    </row>
    <row r="127" spans="1:14" ht="21.75" customHeight="1" x14ac:dyDescent="0.3">
      <c r="A127" s="114" t="str">
        <f t="shared" si="1"/>
        <v/>
      </c>
      <c r="B127" s="93"/>
      <c r="C127" s="46"/>
      <c r="D127" s="46"/>
      <c r="E127" s="46"/>
      <c r="F127" s="47"/>
      <c r="G127" s="46"/>
      <c r="H127" s="93"/>
      <c r="I127" s="89"/>
      <c r="J127" s="47"/>
      <c r="K127" s="47"/>
      <c r="L127" s="47"/>
      <c r="M127" s="47"/>
      <c r="N127" s="46"/>
    </row>
    <row r="128" spans="1:14" ht="21.75" customHeight="1" x14ac:dyDescent="0.3">
      <c r="A128" s="115" t="str">
        <f t="shared" si="1"/>
        <v/>
      </c>
      <c r="B128" s="101"/>
      <c r="C128" s="58"/>
      <c r="D128" s="58"/>
      <c r="E128" s="58"/>
      <c r="F128" s="54"/>
      <c r="G128" s="58"/>
      <c r="H128" s="101"/>
      <c r="I128" s="97"/>
      <c r="J128" s="54"/>
      <c r="K128" s="54"/>
      <c r="L128" s="54"/>
      <c r="M128" s="54"/>
      <c r="N128" s="58"/>
    </row>
    <row r="129" spans="1:14" ht="21.75" customHeight="1" x14ac:dyDescent="0.3">
      <c r="A129" s="114" t="str">
        <f t="shared" si="1"/>
        <v/>
      </c>
      <c r="B129" s="93"/>
      <c r="C129" s="46"/>
      <c r="D129" s="46"/>
      <c r="E129" s="46"/>
      <c r="F129" s="47"/>
      <c r="G129" s="46"/>
      <c r="H129" s="93"/>
      <c r="I129" s="89"/>
      <c r="J129" s="47"/>
      <c r="K129" s="47"/>
      <c r="L129" s="47"/>
      <c r="M129" s="47"/>
      <c r="N129" s="46"/>
    </row>
    <row r="130" spans="1:14" ht="21.75" customHeight="1" x14ac:dyDescent="0.3">
      <c r="A130" s="115" t="str">
        <f t="shared" si="1"/>
        <v/>
      </c>
      <c r="B130" s="101"/>
      <c r="C130" s="58"/>
      <c r="D130" s="58"/>
      <c r="E130" s="58"/>
      <c r="F130" s="54"/>
      <c r="G130" s="58"/>
      <c r="H130" s="101"/>
      <c r="I130" s="97"/>
      <c r="J130" s="54"/>
      <c r="K130" s="54"/>
      <c r="L130" s="54"/>
      <c r="M130" s="54"/>
      <c r="N130" s="58"/>
    </row>
    <row r="131" spans="1:14" ht="21.75" customHeight="1" x14ac:dyDescent="0.3">
      <c r="A131" s="114" t="str">
        <f t="shared" ref="A131:A194" si="2">IF(B131="","",ROW()-2)</f>
        <v/>
      </c>
      <c r="B131" s="93"/>
      <c r="C131" s="46"/>
      <c r="D131" s="46"/>
      <c r="E131" s="46"/>
      <c r="F131" s="47"/>
      <c r="G131" s="46"/>
      <c r="H131" s="93"/>
      <c r="I131" s="89"/>
      <c r="J131" s="47"/>
      <c r="K131" s="47"/>
      <c r="L131" s="47"/>
      <c r="M131" s="47"/>
      <c r="N131" s="46"/>
    </row>
    <row r="132" spans="1:14" ht="21.75" customHeight="1" x14ac:dyDescent="0.3">
      <c r="A132" s="115" t="str">
        <f t="shared" si="2"/>
        <v/>
      </c>
      <c r="B132" s="101"/>
      <c r="C132" s="58"/>
      <c r="D132" s="58"/>
      <c r="E132" s="58"/>
      <c r="F132" s="54"/>
      <c r="G132" s="58"/>
      <c r="H132" s="101"/>
      <c r="I132" s="97"/>
      <c r="J132" s="54"/>
      <c r="K132" s="54"/>
      <c r="L132" s="54"/>
      <c r="M132" s="54"/>
      <c r="N132" s="58"/>
    </row>
    <row r="133" spans="1:14" ht="21.75" customHeight="1" x14ac:dyDescent="0.3">
      <c r="A133" s="114" t="str">
        <f t="shared" si="2"/>
        <v/>
      </c>
      <c r="B133" s="93"/>
      <c r="C133" s="46"/>
      <c r="D133" s="46"/>
      <c r="E133" s="46"/>
      <c r="F133" s="47"/>
      <c r="G133" s="46"/>
      <c r="H133" s="93"/>
      <c r="I133" s="89"/>
      <c r="J133" s="47"/>
      <c r="K133" s="47"/>
      <c r="L133" s="47"/>
      <c r="M133" s="47"/>
      <c r="N133" s="46"/>
    </row>
    <row r="134" spans="1:14" ht="21.75" customHeight="1" x14ac:dyDescent="0.3">
      <c r="A134" s="115" t="str">
        <f t="shared" si="2"/>
        <v/>
      </c>
      <c r="B134" s="101"/>
      <c r="C134" s="58"/>
      <c r="D134" s="58"/>
      <c r="E134" s="58"/>
      <c r="F134" s="54"/>
      <c r="G134" s="58"/>
      <c r="H134" s="101"/>
      <c r="I134" s="97"/>
      <c r="J134" s="54"/>
      <c r="K134" s="54"/>
      <c r="L134" s="54"/>
      <c r="M134" s="54"/>
      <c r="N134" s="58"/>
    </row>
    <row r="135" spans="1:14" ht="21.75" customHeight="1" x14ac:dyDescent="0.3">
      <c r="A135" s="114" t="str">
        <f t="shared" si="2"/>
        <v/>
      </c>
      <c r="B135" s="93"/>
      <c r="C135" s="46"/>
      <c r="D135" s="46"/>
      <c r="E135" s="46"/>
      <c r="F135" s="47"/>
      <c r="G135" s="46"/>
      <c r="H135" s="93"/>
      <c r="I135" s="89"/>
      <c r="J135" s="47"/>
      <c r="K135" s="47"/>
      <c r="L135" s="47"/>
      <c r="M135" s="47"/>
      <c r="N135" s="46"/>
    </row>
    <row r="136" spans="1:14" ht="21.75" customHeight="1" x14ac:dyDescent="0.3">
      <c r="A136" s="115" t="str">
        <f t="shared" si="2"/>
        <v/>
      </c>
      <c r="B136" s="101"/>
      <c r="C136" s="58"/>
      <c r="D136" s="58"/>
      <c r="E136" s="58"/>
      <c r="F136" s="54"/>
      <c r="G136" s="58"/>
      <c r="H136" s="101"/>
      <c r="I136" s="97"/>
      <c r="J136" s="54"/>
      <c r="K136" s="54"/>
      <c r="L136" s="54"/>
      <c r="M136" s="54"/>
      <c r="N136" s="58"/>
    </row>
    <row r="137" spans="1:14" ht="21.75" customHeight="1" x14ac:dyDescent="0.3">
      <c r="A137" s="114" t="str">
        <f t="shared" si="2"/>
        <v/>
      </c>
      <c r="B137" s="93"/>
      <c r="C137" s="46"/>
      <c r="D137" s="46"/>
      <c r="E137" s="46"/>
      <c r="F137" s="47"/>
      <c r="G137" s="46"/>
      <c r="H137" s="93"/>
      <c r="I137" s="89"/>
      <c r="J137" s="47"/>
      <c r="K137" s="47"/>
      <c r="L137" s="47"/>
      <c r="M137" s="47"/>
      <c r="N137" s="46"/>
    </row>
    <row r="138" spans="1:14" ht="21.75" customHeight="1" x14ac:dyDescent="0.3">
      <c r="A138" s="115" t="str">
        <f t="shared" si="2"/>
        <v/>
      </c>
      <c r="B138" s="101"/>
      <c r="C138" s="58"/>
      <c r="D138" s="58"/>
      <c r="E138" s="58"/>
      <c r="F138" s="54"/>
      <c r="G138" s="58"/>
      <c r="H138" s="101"/>
      <c r="I138" s="97"/>
      <c r="J138" s="54"/>
      <c r="K138" s="54"/>
      <c r="L138" s="54"/>
      <c r="M138" s="54"/>
      <c r="N138" s="58"/>
    </row>
    <row r="139" spans="1:14" ht="21.75" customHeight="1" x14ac:dyDescent="0.3">
      <c r="A139" s="114" t="str">
        <f t="shared" si="2"/>
        <v/>
      </c>
      <c r="B139" s="93"/>
      <c r="C139" s="46"/>
      <c r="D139" s="46"/>
      <c r="E139" s="46"/>
      <c r="F139" s="47"/>
      <c r="G139" s="46"/>
      <c r="H139" s="93"/>
      <c r="I139" s="89"/>
      <c r="J139" s="47"/>
      <c r="K139" s="47"/>
      <c r="L139" s="47"/>
      <c r="M139" s="47"/>
      <c r="N139" s="46"/>
    </row>
    <row r="140" spans="1:14" ht="21.75" customHeight="1" x14ac:dyDescent="0.3">
      <c r="A140" s="115" t="str">
        <f t="shared" si="2"/>
        <v/>
      </c>
      <c r="B140" s="101"/>
      <c r="C140" s="58"/>
      <c r="D140" s="58"/>
      <c r="E140" s="58"/>
      <c r="F140" s="54"/>
      <c r="G140" s="58"/>
      <c r="H140" s="101"/>
      <c r="I140" s="97"/>
      <c r="J140" s="54"/>
      <c r="K140" s="54"/>
      <c r="L140" s="54"/>
      <c r="M140" s="54"/>
      <c r="N140" s="58"/>
    </row>
    <row r="141" spans="1:14" ht="21.75" customHeight="1" x14ac:dyDescent="0.3">
      <c r="A141" s="114" t="str">
        <f t="shared" si="2"/>
        <v/>
      </c>
      <c r="B141" s="93"/>
      <c r="C141" s="46"/>
      <c r="D141" s="46"/>
      <c r="E141" s="46"/>
      <c r="F141" s="47"/>
      <c r="G141" s="46"/>
      <c r="H141" s="93"/>
      <c r="I141" s="89"/>
      <c r="J141" s="47"/>
      <c r="K141" s="47"/>
      <c r="L141" s="47"/>
      <c r="M141" s="47"/>
      <c r="N141" s="46"/>
    </row>
    <row r="142" spans="1:14" ht="21.75" customHeight="1" x14ac:dyDescent="0.3">
      <c r="A142" s="115" t="str">
        <f t="shared" si="2"/>
        <v/>
      </c>
      <c r="B142" s="101"/>
      <c r="C142" s="58"/>
      <c r="D142" s="58"/>
      <c r="E142" s="58"/>
      <c r="F142" s="54"/>
      <c r="G142" s="58"/>
      <c r="H142" s="101"/>
      <c r="I142" s="97"/>
      <c r="J142" s="54"/>
      <c r="K142" s="54"/>
      <c r="L142" s="54"/>
      <c r="M142" s="54"/>
      <c r="N142" s="58"/>
    </row>
    <row r="143" spans="1:14" ht="21.75" customHeight="1" x14ac:dyDescent="0.3">
      <c r="A143" s="114" t="str">
        <f t="shared" si="2"/>
        <v/>
      </c>
      <c r="B143" s="93"/>
      <c r="C143" s="46"/>
      <c r="D143" s="46"/>
      <c r="E143" s="46"/>
      <c r="F143" s="47"/>
      <c r="G143" s="46"/>
      <c r="H143" s="93"/>
      <c r="I143" s="89"/>
      <c r="J143" s="47"/>
      <c r="K143" s="47"/>
      <c r="L143" s="47"/>
      <c r="M143" s="47"/>
      <c r="N143" s="46"/>
    </row>
    <row r="144" spans="1:14" ht="21.75" customHeight="1" x14ac:dyDescent="0.3">
      <c r="A144" s="115" t="str">
        <f t="shared" si="2"/>
        <v/>
      </c>
      <c r="B144" s="101"/>
      <c r="C144" s="58"/>
      <c r="D144" s="58"/>
      <c r="E144" s="58"/>
      <c r="F144" s="54"/>
      <c r="G144" s="58"/>
      <c r="H144" s="101"/>
      <c r="I144" s="97"/>
      <c r="J144" s="54"/>
      <c r="K144" s="54"/>
      <c r="L144" s="54"/>
      <c r="M144" s="54"/>
      <c r="N144" s="58"/>
    </row>
    <row r="145" spans="1:14" ht="21.75" customHeight="1" x14ac:dyDescent="0.3">
      <c r="A145" s="114" t="str">
        <f t="shared" si="2"/>
        <v/>
      </c>
      <c r="B145" s="93"/>
      <c r="C145" s="46"/>
      <c r="D145" s="46"/>
      <c r="E145" s="46"/>
      <c r="F145" s="47"/>
      <c r="G145" s="46"/>
      <c r="H145" s="93"/>
      <c r="I145" s="89"/>
      <c r="J145" s="47"/>
      <c r="K145" s="47"/>
      <c r="L145" s="47"/>
      <c r="M145" s="47"/>
      <c r="N145" s="46"/>
    </row>
    <row r="146" spans="1:14" ht="21.75" customHeight="1" x14ac:dyDescent="0.3">
      <c r="A146" s="115" t="str">
        <f t="shared" si="2"/>
        <v/>
      </c>
      <c r="B146" s="101"/>
      <c r="C146" s="58"/>
      <c r="D146" s="58"/>
      <c r="E146" s="58"/>
      <c r="F146" s="54"/>
      <c r="G146" s="58"/>
      <c r="H146" s="101"/>
      <c r="I146" s="97"/>
      <c r="J146" s="54"/>
      <c r="K146" s="54"/>
      <c r="L146" s="54"/>
      <c r="M146" s="54"/>
      <c r="N146" s="58"/>
    </row>
    <row r="147" spans="1:14" ht="21.75" customHeight="1" x14ac:dyDescent="0.3">
      <c r="A147" s="114" t="str">
        <f t="shared" si="2"/>
        <v/>
      </c>
      <c r="B147" s="93"/>
      <c r="C147" s="46"/>
      <c r="D147" s="46"/>
      <c r="E147" s="46"/>
      <c r="F147" s="47"/>
      <c r="G147" s="46"/>
      <c r="H147" s="93"/>
      <c r="I147" s="89"/>
      <c r="J147" s="47"/>
      <c r="K147" s="47"/>
      <c r="L147" s="47"/>
      <c r="M147" s="47"/>
      <c r="N147" s="46"/>
    </row>
    <row r="148" spans="1:14" ht="21.75" customHeight="1" x14ac:dyDescent="0.3">
      <c r="A148" s="115" t="str">
        <f t="shared" si="2"/>
        <v/>
      </c>
      <c r="B148" s="101"/>
      <c r="C148" s="58"/>
      <c r="D148" s="58"/>
      <c r="E148" s="58"/>
      <c r="F148" s="54"/>
      <c r="G148" s="58"/>
      <c r="H148" s="101"/>
      <c r="I148" s="97"/>
      <c r="J148" s="54"/>
      <c r="K148" s="54"/>
      <c r="L148" s="54"/>
      <c r="M148" s="54"/>
      <c r="N148" s="58"/>
    </row>
    <row r="149" spans="1:14" ht="21.75" customHeight="1" x14ac:dyDescent="0.3">
      <c r="A149" s="114" t="str">
        <f t="shared" si="2"/>
        <v/>
      </c>
      <c r="B149" s="93"/>
      <c r="C149" s="46"/>
      <c r="D149" s="46"/>
      <c r="E149" s="46"/>
      <c r="F149" s="47"/>
      <c r="G149" s="46"/>
      <c r="H149" s="93"/>
      <c r="I149" s="89"/>
      <c r="J149" s="47"/>
      <c r="K149" s="47"/>
      <c r="L149" s="47"/>
      <c r="M149" s="47"/>
      <c r="N149" s="46"/>
    </row>
    <row r="150" spans="1:14" ht="21.75" customHeight="1" x14ac:dyDescent="0.3">
      <c r="A150" s="115" t="str">
        <f t="shared" si="2"/>
        <v/>
      </c>
      <c r="B150" s="101"/>
      <c r="C150" s="58"/>
      <c r="D150" s="58"/>
      <c r="E150" s="58"/>
      <c r="F150" s="54"/>
      <c r="G150" s="58"/>
      <c r="H150" s="101"/>
      <c r="I150" s="97"/>
      <c r="J150" s="54"/>
      <c r="K150" s="54"/>
      <c r="L150" s="54"/>
      <c r="M150" s="54"/>
      <c r="N150" s="58"/>
    </row>
    <row r="151" spans="1:14" ht="21.75" customHeight="1" x14ac:dyDescent="0.3">
      <c r="A151" s="114" t="str">
        <f t="shared" si="2"/>
        <v/>
      </c>
      <c r="B151" s="93"/>
      <c r="C151" s="46"/>
      <c r="D151" s="46"/>
      <c r="E151" s="46"/>
      <c r="F151" s="47"/>
      <c r="G151" s="46"/>
      <c r="H151" s="93"/>
      <c r="I151" s="89"/>
      <c r="J151" s="47"/>
      <c r="K151" s="47"/>
      <c r="L151" s="47"/>
      <c r="M151" s="47"/>
      <c r="N151" s="46"/>
    </row>
    <row r="152" spans="1:14" ht="21.75" customHeight="1" x14ac:dyDescent="0.3">
      <c r="A152" s="115" t="str">
        <f t="shared" si="2"/>
        <v/>
      </c>
      <c r="B152" s="101"/>
      <c r="C152" s="58"/>
      <c r="D152" s="58"/>
      <c r="E152" s="58"/>
      <c r="F152" s="54"/>
      <c r="G152" s="58"/>
      <c r="H152" s="101"/>
      <c r="I152" s="97"/>
      <c r="J152" s="54"/>
      <c r="K152" s="54"/>
      <c r="L152" s="54"/>
      <c r="M152" s="54"/>
      <c r="N152" s="58"/>
    </row>
    <row r="153" spans="1:14" ht="21.75" customHeight="1" x14ac:dyDescent="0.3">
      <c r="A153" s="114" t="str">
        <f t="shared" si="2"/>
        <v/>
      </c>
      <c r="B153" s="93"/>
      <c r="C153" s="46"/>
      <c r="D153" s="46"/>
      <c r="E153" s="46"/>
      <c r="F153" s="47"/>
      <c r="G153" s="46"/>
      <c r="H153" s="93"/>
      <c r="I153" s="89"/>
      <c r="J153" s="47"/>
      <c r="K153" s="47"/>
      <c r="L153" s="47"/>
      <c r="M153" s="47"/>
      <c r="N153" s="46"/>
    </row>
    <row r="154" spans="1:14" ht="21.75" customHeight="1" x14ac:dyDescent="0.3">
      <c r="A154" s="115" t="str">
        <f t="shared" si="2"/>
        <v/>
      </c>
      <c r="B154" s="101"/>
      <c r="C154" s="58"/>
      <c r="D154" s="58"/>
      <c r="E154" s="58"/>
      <c r="F154" s="54"/>
      <c r="G154" s="58"/>
      <c r="H154" s="101"/>
      <c r="I154" s="97"/>
      <c r="J154" s="54"/>
      <c r="K154" s="54"/>
      <c r="L154" s="54"/>
      <c r="M154" s="54"/>
      <c r="N154" s="58"/>
    </row>
    <row r="155" spans="1:14" ht="21.75" customHeight="1" x14ac:dyDescent="0.3">
      <c r="A155" s="114" t="str">
        <f t="shared" si="2"/>
        <v/>
      </c>
      <c r="B155" s="93"/>
      <c r="C155" s="46"/>
      <c r="D155" s="46"/>
      <c r="E155" s="46"/>
      <c r="F155" s="47"/>
      <c r="G155" s="46"/>
      <c r="H155" s="93"/>
      <c r="I155" s="89"/>
      <c r="J155" s="47"/>
      <c r="K155" s="47"/>
      <c r="L155" s="47"/>
      <c r="M155" s="47"/>
      <c r="N155" s="46"/>
    </row>
    <row r="156" spans="1:14" ht="21.75" customHeight="1" x14ac:dyDescent="0.3">
      <c r="A156" s="115" t="str">
        <f t="shared" si="2"/>
        <v/>
      </c>
      <c r="B156" s="101"/>
      <c r="C156" s="58"/>
      <c r="D156" s="58"/>
      <c r="E156" s="58"/>
      <c r="F156" s="54"/>
      <c r="G156" s="58"/>
      <c r="H156" s="101"/>
      <c r="I156" s="97"/>
      <c r="J156" s="54"/>
      <c r="K156" s="54"/>
      <c r="L156" s="54"/>
      <c r="M156" s="54"/>
      <c r="N156" s="58"/>
    </row>
    <row r="157" spans="1:14" ht="21.75" customHeight="1" x14ac:dyDescent="0.3">
      <c r="A157" s="114" t="str">
        <f t="shared" si="2"/>
        <v/>
      </c>
      <c r="B157" s="93"/>
      <c r="C157" s="46"/>
      <c r="D157" s="46"/>
      <c r="E157" s="46"/>
      <c r="F157" s="47"/>
      <c r="G157" s="46"/>
      <c r="H157" s="93"/>
      <c r="I157" s="89"/>
      <c r="J157" s="47"/>
      <c r="K157" s="47"/>
      <c r="L157" s="47"/>
      <c r="M157" s="47"/>
      <c r="N157" s="46"/>
    </row>
    <row r="158" spans="1:14" ht="21.75" customHeight="1" x14ac:dyDescent="0.3">
      <c r="A158" s="115" t="str">
        <f t="shared" si="2"/>
        <v/>
      </c>
      <c r="B158" s="101"/>
      <c r="C158" s="58"/>
      <c r="D158" s="58"/>
      <c r="E158" s="58"/>
      <c r="F158" s="54"/>
      <c r="G158" s="58"/>
      <c r="H158" s="101"/>
      <c r="I158" s="97"/>
      <c r="J158" s="54"/>
      <c r="K158" s="54"/>
      <c r="L158" s="54"/>
      <c r="M158" s="54"/>
      <c r="N158" s="58"/>
    </row>
    <row r="159" spans="1:14" ht="21.75" customHeight="1" x14ac:dyDescent="0.3">
      <c r="A159" s="114" t="str">
        <f t="shared" si="2"/>
        <v/>
      </c>
      <c r="B159" s="93"/>
      <c r="C159" s="46"/>
      <c r="D159" s="46"/>
      <c r="E159" s="46"/>
      <c r="F159" s="47"/>
      <c r="G159" s="46"/>
      <c r="H159" s="93"/>
      <c r="I159" s="89"/>
      <c r="J159" s="47"/>
      <c r="K159" s="47"/>
      <c r="L159" s="47"/>
      <c r="M159" s="47"/>
      <c r="N159" s="46"/>
    </row>
    <row r="160" spans="1:14" ht="21.75" customHeight="1" x14ac:dyDescent="0.3">
      <c r="A160" s="115" t="str">
        <f t="shared" si="2"/>
        <v/>
      </c>
      <c r="B160" s="101"/>
      <c r="C160" s="58"/>
      <c r="D160" s="58"/>
      <c r="E160" s="58"/>
      <c r="F160" s="54"/>
      <c r="G160" s="58"/>
      <c r="H160" s="101"/>
      <c r="I160" s="97"/>
      <c r="J160" s="54"/>
      <c r="K160" s="54"/>
      <c r="L160" s="54"/>
      <c r="M160" s="54"/>
      <c r="N160" s="58"/>
    </row>
    <row r="161" spans="1:14" ht="21.75" customHeight="1" x14ac:dyDescent="0.3">
      <c r="A161" s="114" t="str">
        <f t="shared" si="2"/>
        <v/>
      </c>
      <c r="B161" s="93"/>
      <c r="C161" s="46"/>
      <c r="D161" s="46"/>
      <c r="E161" s="46"/>
      <c r="F161" s="47"/>
      <c r="G161" s="46"/>
      <c r="H161" s="93"/>
      <c r="I161" s="89"/>
      <c r="J161" s="47"/>
      <c r="K161" s="47"/>
      <c r="L161" s="47"/>
      <c r="M161" s="47"/>
      <c r="N161" s="46"/>
    </row>
    <row r="162" spans="1:14" ht="21.75" customHeight="1" x14ac:dyDescent="0.3">
      <c r="A162" s="115" t="str">
        <f t="shared" si="2"/>
        <v/>
      </c>
      <c r="B162" s="101"/>
      <c r="C162" s="58"/>
      <c r="D162" s="58"/>
      <c r="E162" s="58"/>
      <c r="F162" s="54"/>
      <c r="G162" s="58"/>
      <c r="H162" s="101"/>
      <c r="I162" s="97"/>
      <c r="J162" s="54"/>
      <c r="K162" s="54"/>
      <c r="L162" s="54"/>
      <c r="M162" s="54"/>
      <c r="N162" s="58"/>
    </row>
    <row r="163" spans="1:14" ht="21.75" customHeight="1" x14ac:dyDescent="0.3">
      <c r="A163" s="114" t="str">
        <f t="shared" si="2"/>
        <v/>
      </c>
      <c r="B163" s="93"/>
      <c r="C163" s="46"/>
      <c r="D163" s="46"/>
      <c r="E163" s="46"/>
      <c r="F163" s="47"/>
      <c r="G163" s="46"/>
      <c r="H163" s="93"/>
      <c r="I163" s="89"/>
      <c r="J163" s="47"/>
      <c r="K163" s="47"/>
      <c r="L163" s="47"/>
      <c r="M163" s="47"/>
      <c r="N163" s="46"/>
    </row>
    <row r="164" spans="1:14" ht="21.75" customHeight="1" x14ac:dyDescent="0.3">
      <c r="A164" s="115" t="str">
        <f t="shared" si="2"/>
        <v/>
      </c>
      <c r="B164" s="101"/>
      <c r="C164" s="58"/>
      <c r="D164" s="58"/>
      <c r="E164" s="58"/>
      <c r="F164" s="54"/>
      <c r="G164" s="58"/>
      <c r="H164" s="101"/>
      <c r="I164" s="97"/>
      <c r="J164" s="54"/>
      <c r="K164" s="54"/>
      <c r="L164" s="54"/>
      <c r="M164" s="54"/>
      <c r="N164" s="58"/>
    </row>
    <row r="165" spans="1:14" ht="21.75" customHeight="1" x14ac:dyDescent="0.3">
      <c r="A165" s="114" t="str">
        <f t="shared" si="2"/>
        <v/>
      </c>
      <c r="B165" s="93"/>
      <c r="C165" s="46"/>
      <c r="D165" s="46"/>
      <c r="E165" s="46"/>
      <c r="F165" s="47"/>
      <c r="G165" s="46"/>
      <c r="H165" s="93"/>
      <c r="I165" s="89"/>
      <c r="J165" s="47"/>
      <c r="K165" s="47"/>
      <c r="L165" s="47"/>
      <c r="M165" s="47"/>
      <c r="N165" s="46"/>
    </row>
    <row r="166" spans="1:14" ht="21.75" customHeight="1" x14ac:dyDescent="0.3">
      <c r="A166" s="115" t="str">
        <f t="shared" si="2"/>
        <v/>
      </c>
      <c r="B166" s="101"/>
      <c r="C166" s="58"/>
      <c r="D166" s="58"/>
      <c r="E166" s="58"/>
      <c r="F166" s="54"/>
      <c r="G166" s="58"/>
      <c r="H166" s="101"/>
      <c r="I166" s="97"/>
      <c r="J166" s="54"/>
      <c r="K166" s="54"/>
      <c r="L166" s="54"/>
      <c r="M166" s="54"/>
      <c r="N166" s="58"/>
    </row>
    <row r="167" spans="1:14" ht="21.75" customHeight="1" x14ac:dyDescent="0.3">
      <c r="A167" s="114" t="str">
        <f t="shared" si="2"/>
        <v/>
      </c>
      <c r="B167" s="93"/>
      <c r="C167" s="46"/>
      <c r="D167" s="46"/>
      <c r="E167" s="46"/>
      <c r="F167" s="47"/>
      <c r="G167" s="46"/>
      <c r="H167" s="93"/>
      <c r="I167" s="89"/>
      <c r="J167" s="47"/>
      <c r="K167" s="47"/>
      <c r="L167" s="47"/>
      <c r="M167" s="47"/>
      <c r="N167" s="46"/>
    </row>
    <row r="168" spans="1:14" ht="21.75" customHeight="1" x14ac:dyDescent="0.3">
      <c r="A168" s="115" t="str">
        <f t="shared" si="2"/>
        <v/>
      </c>
      <c r="B168" s="101"/>
      <c r="C168" s="58"/>
      <c r="D168" s="58"/>
      <c r="E168" s="58"/>
      <c r="F168" s="54"/>
      <c r="G168" s="58"/>
      <c r="H168" s="101"/>
      <c r="I168" s="97"/>
      <c r="J168" s="54"/>
      <c r="K168" s="54"/>
      <c r="L168" s="54"/>
      <c r="M168" s="54"/>
      <c r="N168" s="58"/>
    </row>
    <row r="169" spans="1:14" ht="21.75" customHeight="1" x14ac:dyDescent="0.3">
      <c r="A169" s="114" t="str">
        <f t="shared" si="2"/>
        <v/>
      </c>
      <c r="B169" s="93"/>
      <c r="C169" s="46"/>
      <c r="D169" s="46"/>
      <c r="E169" s="46"/>
      <c r="F169" s="47"/>
      <c r="G169" s="46"/>
      <c r="H169" s="93"/>
      <c r="I169" s="89"/>
      <c r="J169" s="47"/>
      <c r="K169" s="47"/>
      <c r="L169" s="47"/>
      <c r="M169" s="47"/>
      <c r="N169" s="46"/>
    </row>
    <row r="170" spans="1:14" ht="21.75" customHeight="1" x14ac:dyDescent="0.3">
      <c r="A170" s="115" t="str">
        <f t="shared" si="2"/>
        <v/>
      </c>
      <c r="B170" s="101"/>
      <c r="C170" s="58"/>
      <c r="D170" s="58"/>
      <c r="E170" s="58"/>
      <c r="F170" s="54"/>
      <c r="G170" s="58"/>
      <c r="H170" s="101"/>
      <c r="I170" s="97"/>
      <c r="J170" s="54"/>
      <c r="K170" s="54"/>
      <c r="L170" s="54"/>
      <c r="M170" s="54"/>
      <c r="N170" s="58"/>
    </row>
    <row r="171" spans="1:14" ht="21.75" customHeight="1" x14ac:dyDescent="0.3">
      <c r="A171" s="114" t="str">
        <f t="shared" si="2"/>
        <v/>
      </c>
      <c r="B171" s="93"/>
      <c r="C171" s="46"/>
      <c r="D171" s="46"/>
      <c r="E171" s="46"/>
      <c r="F171" s="47"/>
      <c r="G171" s="46"/>
      <c r="H171" s="93"/>
      <c r="I171" s="89"/>
      <c r="J171" s="47"/>
      <c r="K171" s="47"/>
      <c r="L171" s="47"/>
      <c r="M171" s="47"/>
      <c r="N171" s="46"/>
    </row>
    <row r="172" spans="1:14" ht="21.75" customHeight="1" x14ac:dyDescent="0.3">
      <c r="A172" s="115" t="str">
        <f t="shared" si="2"/>
        <v/>
      </c>
      <c r="B172" s="101"/>
      <c r="C172" s="58"/>
      <c r="D172" s="58"/>
      <c r="E172" s="58"/>
      <c r="F172" s="54"/>
      <c r="G172" s="58"/>
      <c r="H172" s="101"/>
      <c r="I172" s="97"/>
      <c r="J172" s="54"/>
      <c r="K172" s="54"/>
      <c r="L172" s="54"/>
      <c r="M172" s="54"/>
      <c r="N172" s="58"/>
    </row>
    <row r="173" spans="1:14" ht="21.75" customHeight="1" x14ac:dyDescent="0.3">
      <c r="A173" s="114" t="str">
        <f t="shared" si="2"/>
        <v/>
      </c>
      <c r="B173" s="93"/>
      <c r="C173" s="46"/>
      <c r="D173" s="46"/>
      <c r="E173" s="46"/>
      <c r="F173" s="47"/>
      <c r="G173" s="46"/>
      <c r="H173" s="93"/>
      <c r="I173" s="89"/>
      <c r="J173" s="47"/>
      <c r="K173" s="47"/>
      <c r="L173" s="47"/>
      <c r="M173" s="47"/>
      <c r="N173" s="46"/>
    </row>
    <row r="174" spans="1:14" ht="21.75" customHeight="1" x14ac:dyDescent="0.3">
      <c r="A174" s="115" t="str">
        <f t="shared" si="2"/>
        <v/>
      </c>
      <c r="B174" s="101"/>
      <c r="C174" s="58"/>
      <c r="D174" s="58"/>
      <c r="E174" s="58"/>
      <c r="F174" s="54"/>
      <c r="G174" s="58"/>
      <c r="H174" s="101"/>
      <c r="I174" s="97"/>
      <c r="J174" s="54"/>
      <c r="K174" s="54"/>
      <c r="L174" s="54"/>
      <c r="M174" s="54"/>
      <c r="N174" s="58"/>
    </row>
    <row r="175" spans="1:14" ht="21.75" customHeight="1" x14ac:dyDescent="0.3">
      <c r="A175" s="114" t="str">
        <f t="shared" si="2"/>
        <v/>
      </c>
      <c r="B175" s="93"/>
      <c r="C175" s="46"/>
      <c r="D175" s="46"/>
      <c r="E175" s="46"/>
      <c r="F175" s="47"/>
      <c r="G175" s="46"/>
      <c r="H175" s="93"/>
      <c r="I175" s="89"/>
      <c r="J175" s="47"/>
      <c r="K175" s="47"/>
      <c r="L175" s="47"/>
      <c r="M175" s="47"/>
      <c r="N175" s="46"/>
    </row>
    <row r="176" spans="1:14" ht="21.75" customHeight="1" x14ac:dyDescent="0.3">
      <c r="A176" s="115" t="str">
        <f t="shared" si="2"/>
        <v/>
      </c>
      <c r="B176" s="101"/>
      <c r="C176" s="58"/>
      <c r="D176" s="58"/>
      <c r="E176" s="58"/>
      <c r="F176" s="54"/>
      <c r="G176" s="58"/>
      <c r="H176" s="101"/>
      <c r="I176" s="97"/>
      <c r="J176" s="54"/>
      <c r="K176" s="54"/>
      <c r="L176" s="54"/>
      <c r="M176" s="54"/>
      <c r="N176" s="58"/>
    </row>
    <row r="177" spans="1:14" ht="21.75" customHeight="1" x14ac:dyDescent="0.3">
      <c r="A177" s="114" t="str">
        <f t="shared" si="2"/>
        <v/>
      </c>
      <c r="B177" s="93"/>
      <c r="C177" s="46"/>
      <c r="D177" s="46"/>
      <c r="E177" s="46"/>
      <c r="F177" s="47"/>
      <c r="G177" s="46"/>
      <c r="H177" s="93"/>
      <c r="I177" s="89"/>
      <c r="J177" s="47"/>
      <c r="K177" s="47"/>
      <c r="L177" s="47"/>
      <c r="M177" s="47"/>
      <c r="N177" s="46"/>
    </row>
    <row r="178" spans="1:14" ht="21.75" customHeight="1" x14ac:dyDescent="0.3">
      <c r="A178" s="115" t="str">
        <f t="shared" si="2"/>
        <v/>
      </c>
      <c r="B178" s="101"/>
      <c r="C178" s="58"/>
      <c r="D178" s="58"/>
      <c r="E178" s="58"/>
      <c r="F178" s="54"/>
      <c r="G178" s="58"/>
      <c r="H178" s="101"/>
      <c r="I178" s="97"/>
      <c r="J178" s="54"/>
      <c r="K178" s="54"/>
      <c r="L178" s="54"/>
      <c r="M178" s="54"/>
      <c r="N178" s="58"/>
    </row>
    <row r="179" spans="1:14" ht="21.75" customHeight="1" x14ac:dyDescent="0.3">
      <c r="A179" s="114" t="str">
        <f t="shared" si="2"/>
        <v/>
      </c>
      <c r="B179" s="93"/>
      <c r="C179" s="46"/>
      <c r="D179" s="46"/>
      <c r="E179" s="46"/>
      <c r="F179" s="47"/>
      <c r="G179" s="46"/>
      <c r="H179" s="93"/>
      <c r="I179" s="89"/>
      <c r="J179" s="47"/>
      <c r="K179" s="47"/>
      <c r="L179" s="47"/>
      <c r="M179" s="47"/>
      <c r="N179" s="46"/>
    </row>
    <row r="180" spans="1:14" ht="21.75" customHeight="1" x14ac:dyDescent="0.3">
      <c r="A180" s="115" t="str">
        <f t="shared" si="2"/>
        <v/>
      </c>
      <c r="B180" s="101"/>
      <c r="C180" s="58"/>
      <c r="D180" s="58"/>
      <c r="E180" s="58"/>
      <c r="F180" s="54"/>
      <c r="G180" s="58"/>
      <c r="H180" s="101"/>
      <c r="I180" s="97"/>
      <c r="J180" s="54"/>
      <c r="K180" s="54"/>
      <c r="L180" s="54"/>
      <c r="M180" s="54"/>
      <c r="N180" s="58"/>
    </row>
    <row r="181" spans="1:14" ht="21.75" customHeight="1" x14ac:dyDescent="0.3">
      <c r="A181" s="114" t="str">
        <f t="shared" si="2"/>
        <v/>
      </c>
      <c r="B181" s="93"/>
      <c r="C181" s="46"/>
      <c r="D181" s="46"/>
      <c r="E181" s="46"/>
      <c r="F181" s="47"/>
      <c r="G181" s="46"/>
      <c r="H181" s="93"/>
      <c r="I181" s="89"/>
      <c r="J181" s="47"/>
      <c r="K181" s="47"/>
      <c r="L181" s="47"/>
      <c r="M181" s="47"/>
      <c r="N181" s="46"/>
    </row>
    <row r="182" spans="1:14" ht="21.75" customHeight="1" x14ac:dyDescent="0.3">
      <c r="A182" s="115" t="str">
        <f t="shared" si="2"/>
        <v/>
      </c>
      <c r="B182" s="101"/>
      <c r="C182" s="58"/>
      <c r="D182" s="58"/>
      <c r="E182" s="58"/>
      <c r="F182" s="54"/>
      <c r="G182" s="58"/>
      <c r="H182" s="101"/>
      <c r="I182" s="97"/>
      <c r="J182" s="54"/>
      <c r="K182" s="54"/>
      <c r="L182" s="54"/>
      <c r="M182" s="54"/>
      <c r="N182" s="58"/>
    </row>
    <row r="183" spans="1:14" ht="21.75" customHeight="1" x14ac:dyDescent="0.3">
      <c r="A183" s="114" t="str">
        <f t="shared" si="2"/>
        <v/>
      </c>
      <c r="B183" s="93"/>
      <c r="C183" s="46"/>
      <c r="D183" s="46"/>
      <c r="E183" s="46"/>
      <c r="F183" s="47"/>
      <c r="G183" s="46"/>
      <c r="H183" s="93"/>
      <c r="I183" s="89"/>
      <c r="J183" s="47"/>
      <c r="K183" s="47"/>
      <c r="L183" s="47"/>
      <c r="M183" s="47"/>
      <c r="N183" s="46"/>
    </row>
    <row r="184" spans="1:14" ht="21.75" customHeight="1" x14ac:dyDescent="0.3">
      <c r="A184" s="115" t="str">
        <f t="shared" si="2"/>
        <v/>
      </c>
      <c r="B184" s="101"/>
      <c r="C184" s="58"/>
      <c r="D184" s="58"/>
      <c r="E184" s="58"/>
      <c r="F184" s="54"/>
      <c r="G184" s="58"/>
      <c r="H184" s="101"/>
      <c r="I184" s="97"/>
      <c r="J184" s="54"/>
      <c r="K184" s="54"/>
      <c r="L184" s="54"/>
      <c r="M184" s="54"/>
      <c r="N184" s="58"/>
    </row>
    <row r="185" spans="1:14" ht="21.75" customHeight="1" x14ac:dyDescent="0.3">
      <c r="A185" s="114" t="str">
        <f t="shared" si="2"/>
        <v/>
      </c>
      <c r="B185" s="93"/>
      <c r="C185" s="46"/>
      <c r="D185" s="46"/>
      <c r="E185" s="46"/>
      <c r="F185" s="47"/>
      <c r="G185" s="46"/>
      <c r="H185" s="93"/>
      <c r="I185" s="89"/>
      <c r="J185" s="47"/>
      <c r="K185" s="47"/>
      <c r="L185" s="47"/>
      <c r="M185" s="47"/>
      <c r="N185" s="46"/>
    </row>
    <row r="186" spans="1:14" ht="21.75" customHeight="1" x14ac:dyDescent="0.3">
      <c r="A186" s="115" t="str">
        <f t="shared" si="2"/>
        <v/>
      </c>
      <c r="B186" s="101"/>
      <c r="C186" s="58"/>
      <c r="D186" s="58"/>
      <c r="E186" s="58"/>
      <c r="F186" s="54"/>
      <c r="G186" s="58"/>
      <c r="H186" s="101"/>
      <c r="I186" s="97"/>
      <c r="J186" s="54"/>
      <c r="K186" s="54"/>
      <c r="L186" s="54"/>
      <c r="M186" s="54"/>
      <c r="N186" s="58"/>
    </row>
    <row r="187" spans="1:14" ht="21.75" customHeight="1" x14ac:dyDescent="0.3">
      <c r="A187" s="114" t="str">
        <f t="shared" si="2"/>
        <v/>
      </c>
      <c r="B187" s="93"/>
      <c r="C187" s="46"/>
      <c r="D187" s="46"/>
      <c r="E187" s="46"/>
      <c r="F187" s="47"/>
      <c r="G187" s="46"/>
      <c r="H187" s="93"/>
      <c r="I187" s="89"/>
      <c r="J187" s="47"/>
      <c r="K187" s="47"/>
      <c r="L187" s="47"/>
      <c r="M187" s="47"/>
      <c r="N187" s="46"/>
    </row>
    <row r="188" spans="1:14" ht="21.75" customHeight="1" x14ac:dyDescent="0.3">
      <c r="A188" s="115" t="str">
        <f t="shared" si="2"/>
        <v/>
      </c>
      <c r="B188" s="101"/>
      <c r="C188" s="58"/>
      <c r="D188" s="58"/>
      <c r="E188" s="58"/>
      <c r="F188" s="54"/>
      <c r="G188" s="58"/>
      <c r="H188" s="101"/>
      <c r="I188" s="97"/>
      <c r="J188" s="54"/>
      <c r="K188" s="54"/>
      <c r="L188" s="54"/>
      <c r="M188" s="54"/>
      <c r="N188" s="58"/>
    </row>
    <row r="189" spans="1:14" ht="21.75" customHeight="1" x14ac:dyDescent="0.3">
      <c r="A189" s="114" t="str">
        <f t="shared" si="2"/>
        <v/>
      </c>
      <c r="B189" s="93"/>
      <c r="C189" s="46"/>
      <c r="D189" s="46"/>
      <c r="E189" s="46"/>
      <c r="F189" s="47"/>
      <c r="G189" s="46"/>
      <c r="H189" s="93"/>
      <c r="I189" s="89"/>
      <c r="J189" s="47"/>
      <c r="K189" s="47"/>
      <c r="L189" s="47"/>
      <c r="M189" s="47"/>
      <c r="N189" s="46"/>
    </row>
    <row r="190" spans="1:14" ht="21.75" customHeight="1" x14ac:dyDescent="0.3">
      <c r="A190" s="115" t="str">
        <f t="shared" si="2"/>
        <v/>
      </c>
      <c r="B190" s="101"/>
      <c r="C190" s="58"/>
      <c r="D190" s="58"/>
      <c r="E190" s="58"/>
      <c r="F190" s="54"/>
      <c r="G190" s="58"/>
      <c r="H190" s="101"/>
      <c r="I190" s="97"/>
      <c r="J190" s="54"/>
      <c r="K190" s="54"/>
      <c r="L190" s="54"/>
      <c r="M190" s="54"/>
      <c r="N190" s="58"/>
    </row>
    <row r="191" spans="1:14" ht="21.75" customHeight="1" x14ac:dyDescent="0.3">
      <c r="A191" s="114" t="str">
        <f t="shared" si="2"/>
        <v/>
      </c>
      <c r="B191" s="93"/>
      <c r="C191" s="46"/>
      <c r="D191" s="46"/>
      <c r="E191" s="46"/>
      <c r="F191" s="47"/>
      <c r="G191" s="46"/>
      <c r="H191" s="93"/>
      <c r="I191" s="89"/>
      <c r="J191" s="47"/>
      <c r="K191" s="47"/>
      <c r="L191" s="47"/>
      <c r="M191" s="47"/>
      <c r="N191" s="46"/>
    </row>
    <row r="192" spans="1:14" ht="21.75" customHeight="1" x14ac:dyDescent="0.3">
      <c r="A192" s="115" t="str">
        <f t="shared" si="2"/>
        <v/>
      </c>
      <c r="B192" s="101"/>
      <c r="C192" s="58"/>
      <c r="D192" s="58"/>
      <c r="E192" s="58"/>
      <c r="F192" s="54"/>
      <c r="G192" s="58"/>
      <c r="H192" s="101"/>
      <c r="I192" s="97"/>
      <c r="J192" s="54"/>
      <c r="K192" s="54"/>
      <c r="L192" s="54"/>
      <c r="M192" s="54"/>
      <c r="N192" s="58"/>
    </row>
    <row r="193" spans="1:14" ht="21.75" customHeight="1" x14ac:dyDescent="0.3">
      <c r="A193" s="114" t="str">
        <f t="shared" si="2"/>
        <v/>
      </c>
      <c r="B193" s="93"/>
      <c r="C193" s="46"/>
      <c r="D193" s="46"/>
      <c r="E193" s="46"/>
      <c r="F193" s="47"/>
      <c r="G193" s="46"/>
      <c r="H193" s="93"/>
      <c r="I193" s="89"/>
      <c r="J193" s="47"/>
      <c r="K193" s="47"/>
      <c r="L193" s="47"/>
      <c r="M193" s="47"/>
      <c r="N193" s="46"/>
    </row>
    <row r="194" spans="1:14" ht="21.75" customHeight="1" x14ac:dyDescent="0.3">
      <c r="A194" s="115" t="str">
        <f t="shared" si="2"/>
        <v/>
      </c>
      <c r="B194" s="101"/>
      <c r="C194" s="58"/>
      <c r="D194" s="58"/>
      <c r="E194" s="58"/>
      <c r="F194" s="54"/>
      <c r="G194" s="58"/>
      <c r="H194" s="101"/>
      <c r="I194" s="97"/>
      <c r="J194" s="54"/>
      <c r="K194" s="54"/>
      <c r="L194" s="54"/>
      <c r="M194" s="54"/>
      <c r="N194" s="58"/>
    </row>
    <row r="195" spans="1:14" ht="21.75" customHeight="1" x14ac:dyDescent="0.3">
      <c r="A195" s="114" t="str">
        <f t="shared" ref="A195:A258" si="3">IF(B195="","",ROW()-2)</f>
        <v/>
      </c>
      <c r="B195" s="93"/>
      <c r="C195" s="46"/>
      <c r="D195" s="46"/>
      <c r="E195" s="46"/>
      <c r="F195" s="47"/>
      <c r="G195" s="46"/>
      <c r="H195" s="93"/>
      <c r="I195" s="89"/>
      <c r="J195" s="47"/>
      <c r="K195" s="47"/>
      <c r="L195" s="47"/>
      <c r="M195" s="47"/>
      <c r="N195" s="46"/>
    </row>
    <row r="196" spans="1:14" ht="21.75" customHeight="1" x14ac:dyDescent="0.3">
      <c r="A196" s="115" t="str">
        <f t="shared" si="3"/>
        <v/>
      </c>
      <c r="B196" s="101"/>
      <c r="C196" s="58"/>
      <c r="D196" s="58"/>
      <c r="E196" s="58"/>
      <c r="F196" s="54"/>
      <c r="G196" s="58"/>
      <c r="H196" s="101"/>
      <c r="I196" s="97"/>
      <c r="J196" s="54"/>
      <c r="K196" s="54"/>
      <c r="L196" s="54"/>
      <c r="M196" s="54"/>
      <c r="N196" s="58"/>
    </row>
    <row r="197" spans="1:14" ht="21.75" customHeight="1" x14ac:dyDescent="0.3">
      <c r="A197" s="114" t="str">
        <f t="shared" si="3"/>
        <v/>
      </c>
      <c r="B197" s="93"/>
      <c r="C197" s="46"/>
      <c r="D197" s="46"/>
      <c r="E197" s="46"/>
      <c r="F197" s="47"/>
      <c r="G197" s="46"/>
      <c r="H197" s="93"/>
      <c r="I197" s="89"/>
      <c r="J197" s="47"/>
      <c r="K197" s="47"/>
      <c r="L197" s="47"/>
      <c r="M197" s="47"/>
      <c r="N197" s="46"/>
    </row>
    <row r="198" spans="1:14" ht="21.75" customHeight="1" x14ac:dyDescent="0.3">
      <c r="A198" s="115" t="str">
        <f t="shared" si="3"/>
        <v/>
      </c>
      <c r="B198" s="101"/>
      <c r="C198" s="58"/>
      <c r="D198" s="58"/>
      <c r="E198" s="58"/>
      <c r="F198" s="54"/>
      <c r="G198" s="58"/>
      <c r="H198" s="101"/>
      <c r="I198" s="97"/>
      <c r="J198" s="54"/>
      <c r="K198" s="54"/>
      <c r="L198" s="54"/>
      <c r="M198" s="54"/>
      <c r="N198" s="58"/>
    </row>
    <row r="199" spans="1:14" ht="21.75" customHeight="1" x14ac:dyDescent="0.3">
      <c r="A199" s="114" t="str">
        <f t="shared" si="3"/>
        <v/>
      </c>
      <c r="B199" s="93"/>
      <c r="C199" s="46"/>
      <c r="D199" s="46"/>
      <c r="E199" s="46"/>
      <c r="F199" s="47"/>
      <c r="G199" s="46"/>
      <c r="H199" s="93"/>
      <c r="I199" s="89"/>
      <c r="J199" s="47"/>
      <c r="K199" s="47"/>
      <c r="L199" s="47"/>
      <c r="M199" s="47"/>
      <c r="N199" s="46"/>
    </row>
    <row r="200" spans="1:14" ht="21.75" customHeight="1" x14ac:dyDescent="0.3">
      <c r="A200" s="115" t="str">
        <f t="shared" si="3"/>
        <v/>
      </c>
      <c r="B200" s="101"/>
      <c r="C200" s="58"/>
      <c r="D200" s="58"/>
      <c r="E200" s="58"/>
      <c r="F200" s="54"/>
      <c r="G200" s="58"/>
      <c r="H200" s="101"/>
      <c r="I200" s="97"/>
      <c r="J200" s="54"/>
      <c r="K200" s="54"/>
      <c r="L200" s="54"/>
      <c r="M200" s="54"/>
      <c r="N200" s="58"/>
    </row>
    <row r="201" spans="1:14" ht="21.75" customHeight="1" x14ac:dyDescent="0.3">
      <c r="A201" s="114" t="str">
        <f t="shared" si="3"/>
        <v/>
      </c>
      <c r="B201" s="93"/>
      <c r="C201" s="46"/>
      <c r="D201" s="46"/>
      <c r="E201" s="46"/>
      <c r="F201" s="47"/>
      <c r="G201" s="46"/>
      <c r="H201" s="93"/>
      <c r="I201" s="89"/>
      <c r="J201" s="47"/>
      <c r="K201" s="47"/>
      <c r="L201" s="47"/>
      <c r="M201" s="47"/>
      <c r="N201" s="46"/>
    </row>
    <row r="202" spans="1:14" ht="21.75" customHeight="1" x14ac:dyDescent="0.3">
      <c r="A202" s="115" t="str">
        <f t="shared" si="3"/>
        <v/>
      </c>
      <c r="B202" s="101"/>
      <c r="C202" s="58"/>
      <c r="D202" s="58"/>
      <c r="E202" s="58"/>
      <c r="F202" s="54"/>
      <c r="G202" s="58"/>
      <c r="H202" s="101"/>
      <c r="I202" s="97"/>
      <c r="J202" s="54"/>
      <c r="K202" s="54"/>
      <c r="L202" s="54"/>
      <c r="M202" s="54"/>
      <c r="N202" s="58"/>
    </row>
    <row r="203" spans="1:14" ht="21.75" customHeight="1" x14ac:dyDescent="0.3">
      <c r="A203" s="114" t="str">
        <f t="shared" si="3"/>
        <v/>
      </c>
      <c r="B203" s="93"/>
      <c r="C203" s="46"/>
      <c r="D203" s="46"/>
      <c r="E203" s="46"/>
      <c r="F203" s="47"/>
      <c r="G203" s="46"/>
      <c r="H203" s="93"/>
      <c r="I203" s="89"/>
      <c r="J203" s="47"/>
      <c r="K203" s="47"/>
      <c r="L203" s="47"/>
      <c r="M203" s="47"/>
      <c r="N203" s="46"/>
    </row>
    <row r="204" spans="1:14" ht="21.75" customHeight="1" x14ac:dyDescent="0.3">
      <c r="A204" s="115" t="str">
        <f t="shared" si="3"/>
        <v/>
      </c>
      <c r="B204" s="101"/>
      <c r="C204" s="58"/>
      <c r="D204" s="58"/>
      <c r="E204" s="58"/>
      <c r="F204" s="54"/>
      <c r="G204" s="58"/>
      <c r="H204" s="101"/>
      <c r="I204" s="97"/>
      <c r="J204" s="54"/>
      <c r="K204" s="54"/>
      <c r="L204" s="54"/>
      <c r="M204" s="54"/>
      <c r="N204" s="58"/>
    </row>
    <row r="205" spans="1:14" ht="21.75" customHeight="1" x14ac:dyDescent="0.3">
      <c r="A205" s="114" t="str">
        <f t="shared" si="3"/>
        <v/>
      </c>
      <c r="B205" s="93"/>
      <c r="C205" s="46"/>
      <c r="D205" s="46"/>
      <c r="E205" s="46"/>
      <c r="F205" s="47"/>
      <c r="G205" s="46"/>
      <c r="H205" s="93"/>
      <c r="I205" s="89"/>
      <c r="J205" s="47"/>
      <c r="K205" s="47"/>
      <c r="L205" s="47"/>
      <c r="M205" s="47"/>
      <c r="N205" s="46"/>
    </row>
    <row r="206" spans="1:14" ht="21.75" customHeight="1" x14ac:dyDescent="0.3">
      <c r="A206" s="115" t="str">
        <f t="shared" si="3"/>
        <v/>
      </c>
      <c r="B206" s="101"/>
      <c r="C206" s="58"/>
      <c r="D206" s="58"/>
      <c r="E206" s="58"/>
      <c r="F206" s="54"/>
      <c r="G206" s="58"/>
      <c r="H206" s="101"/>
      <c r="I206" s="97"/>
      <c r="J206" s="54"/>
      <c r="K206" s="54"/>
      <c r="L206" s="54"/>
      <c r="M206" s="54"/>
      <c r="N206" s="58"/>
    </row>
    <row r="207" spans="1:14" ht="21.75" customHeight="1" x14ac:dyDescent="0.3">
      <c r="A207" s="114" t="str">
        <f t="shared" si="3"/>
        <v/>
      </c>
      <c r="B207" s="93"/>
      <c r="C207" s="46"/>
      <c r="D207" s="46"/>
      <c r="E207" s="46"/>
      <c r="F207" s="47"/>
      <c r="G207" s="46"/>
      <c r="H207" s="93"/>
      <c r="I207" s="89"/>
      <c r="J207" s="47"/>
      <c r="K207" s="47"/>
      <c r="L207" s="47"/>
      <c r="M207" s="47"/>
      <c r="N207" s="46"/>
    </row>
    <row r="208" spans="1:14" ht="21.75" customHeight="1" x14ac:dyDescent="0.3">
      <c r="A208" s="115" t="str">
        <f t="shared" si="3"/>
        <v/>
      </c>
      <c r="B208" s="101"/>
      <c r="C208" s="58"/>
      <c r="D208" s="58"/>
      <c r="E208" s="58"/>
      <c r="F208" s="54"/>
      <c r="G208" s="58"/>
      <c r="H208" s="101"/>
      <c r="I208" s="97"/>
      <c r="J208" s="54"/>
      <c r="K208" s="54"/>
      <c r="L208" s="54"/>
      <c r="M208" s="54"/>
      <c r="N208" s="58"/>
    </row>
    <row r="209" spans="1:14" ht="21.75" customHeight="1" x14ac:dyDescent="0.3">
      <c r="A209" s="114" t="str">
        <f t="shared" si="3"/>
        <v/>
      </c>
      <c r="B209" s="93"/>
      <c r="C209" s="46"/>
      <c r="D209" s="46"/>
      <c r="E209" s="46"/>
      <c r="F209" s="47"/>
      <c r="G209" s="46"/>
      <c r="H209" s="93"/>
      <c r="I209" s="89"/>
      <c r="J209" s="47"/>
      <c r="K209" s="47"/>
      <c r="L209" s="47"/>
      <c r="M209" s="47"/>
      <c r="N209" s="46"/>
    </row>
    <row r="210" spans="1:14" ht="21.75" customHeight="1" x14ac:dyDescent="0.3">
      <c r="A210" s="115" t="str">
        <f t="shared" si="3"/>
        <v/>
      </c>
      <c r="B210" s="101"/>
      <c r="C210" s="58"/>
      <c r="D210" s="58"/>
      <c r="E210" s="58"/>
      <c r="F210" s="54"/>
      <c r="G210" s="58"/>
      <c r="H210" s="101"/>
      <c r="I210" s="97"/>
      <c r="J210" s="54"/>
      <c r="K210" s="54"/>
      <c r="L210" s="54"/>
      <c r="M210" s="54"/>
      <c r="N210" s="58"/>
    </row>
    <row r="211" spans="1:14" ht="21.75" customHeight="1" x14ac:dyDescent="0.3">
      <c r="A211" s="114" t="str">
        <f t="shared" si="3"/>
        <v/>
      </c>
      <c r="B211" s="93"/>
      <c r="C211" s="46"/>
      <c r="D211" s="46"/>
      <c r="E211" s="46"/>
      <c r="F211" s="47"/>
      <c r="G211" s="46"/>
      <c r="H211" s="93"/>
      <c r="I211" s="89"/>
      <c r="J211" s="47"/>
      <c r="K211" s="47"/>
      <c r="L211" s="47"/>
      <c r="M211" s="47"/>
      <c r="N211" s="46"/>
    </row>
    <row r="212" spans="1:14" ht="21.75" customHeight="1" x14ac:dyDescent="0.3">
      <c r="A212" s="115" t="str">
        <f t="shared" si="3"/>
        <v/>
      </c>
      <c r="B212" s="101"/>
      <c r="C212" s="58"/>
      <c r="D212" s="58"/>
      <c r="E212" s="58"/>
      <c r="F212" s="54"/>
      <c r="G212" s="58"/>
      <c r="H212" s="101"/>
      <c r="I212" s="97"/>
      <c r="J212" s="54"/>
      <c r="K212" s="54"/>
      <c r="L212" s="54"/>
      <c r="M212" s="54"/>
      <c r="N212" s="58"/>
    </row>
    <row r="213" spans="1:14" ht="21.75" customHeight="1" x14ac:dyDescent="0.3">
      <c r="A213" s="114" t="str">
        <f t="shared" si="3"/>
        <v/>
      </c>
      <c r="B213" s="93"/>
      <c r="C213" s="46"/>
      <c r="D213" s="46"/>
      <c r="E213" s="46"/>
      <c r="F213" s="47"/>
      <c r="G213" s="46"/>
      <c r="H213" s="93"/>
      <c r="I213" s="89"/>
      <c r="J213" s="47"/>
      <c r="K213" s="47"/>
      <c r="L213" s="47"/>
      <c r="M213" s="47"/>
      <c r="N213" s="46"/>
    </row>
    <row r="214" spans="1:14" ht="21.75" customHeight="1" x14ac:dyDescent="0.3">
      <c r="A214" s="115" t="str">
        <f t="shared" si="3"/>
        <v/>
      </c>
      <c r="B214" s="101"/>
      <c r="C214" s="58"/>
      <c r="D214" s="58"/>
      <c r="E214" s="58"/>
      <c r="F214" s="54"/>
      <c r="G214" s="58"/>
      <c r="H214" s="101"/>
      <c r="I214" s="97"/>
      <c r="J214" s="54"/>
      <c r="K214" s="54"/>
      <c r="L214" s="54"/>
      <c r="M214" s="54"/>
      <c r="N214" s="58"/>
    </row>
    <row r="215" spans="1:14" ht="21.75" customHeight="1" x14ac:dyDescent="0.3">
      <c r="A215" s="114" t="str">
        <f t="shared" si="3"/>
        <v/>
      </c>
      <c r="B215" s="93"/>
      <c r="C215" s="46"/>
      <c r="D215" s="46"/>
      <c r="E215" s="46"/>
      <c r="F215" s="47"/>
      <c r="G215" s="46"/>
      <c r="H215" s="93"/>
      <c r="I215" s="89"/>
      <c r="J215" s="47"/>
      <c r="K215" s="47"/>
      <c r="L215" s="47"/>
      <c r="M215" s="47"/>
      <c r="N215" s="46"/>
    </row>
    <row r="216" spans="1:14" ht="21.75" customHeight="1" x14ac:dyDescent="0.3">
      <c r="A216" s="115" t="str">
        <f t="shared" si="3"/>
        <v/>
      </c>
      <c r="B216" s="101"/>
      <c r="C216" s="58"/>
      <c r="D216" s="58"/>
      <c r="E216" s="58"/>
      <c r="F216" s="54"/>
      <c r="G216" s="58"/>
      <c r="H216" s="101"/>
      <c r="I216" s="97"/>
      <c r="J216" s="54"/>
      <c r="K216" s="54"/>
      <c r="L216" s="54"/>
      <c r="M216" s="54"/>
      <c r="N216" s="58"/>
    </row>
    <row r="217" spans="1:14" ht="21.75" customHeight="1" x14ac:dyDescent="0.3">
      <c r="A217" s="114" t="str">
        <f t="shared" si="3"/>
        <v/>
      </c>
      <c r="B217" s="93"/>
      <c r="C217" s="46"/>
      <c r="D217" s="46"/>
      <c r="E217" s="46"/>
      <c r="F217" s="47"/>
      <c r="G217" s="46"/>
      <c r="H217" s="93"/>
      <c r="I217" s="89"/>
      <c r="J217" s="47"/>
      <c r="K217" s="47"/>
      <c r="L217" s="47"/>
      <c r="M217" s="47"/>
      <c r="N217" s="46"/>
    </row>
    <row r="218" spans="1:14" ht="21.75" customHeight="1" x14ac:dyDescent="0.3">
      <c r="A218" s="115" t="str">
        <f t="shared" si="3"/>
        <v/>
      </c>
      <c r="B218" s="101"/>
      <c r="C218" s="58"/>
      <c r="D218" s="58"/>
      <c r="E218" s="58"/>
      <c r="F218" s="54"/>
      <c r="G218" s="58"/>
      <c r="H218" s="101"/>
      <c r="I218" s="97"/>
      <c r="J218" s="54"/>
      <c r="K218" s="54"/>
      <c r="L218" s="54"/>
      <c r="M218" s="54"/>
      <c r="N218" s="58"/>
    </row>
    <row r="219" spans="1:14" ht="21.75" customHeight="1" x14ac:dyDescent="0.3">
      <c r="A219" s="114" t="str">
        <f t="shared" si="3"/>
        <v/>
      </c>
      <c r="B219" s="93"/>
      <c r="C219" s="46"/>
      <c r="D219" s="46"/>
      <c r="E219" s="46"/>
      <c r="F219" s="47"/>
      <c r="G219" s="46"/>
      <c r="H219" s="93"/>
      <c r="I219" s="89"/>
      <c r="J219" s="47"/>
      <c r="K219" s="47"/>
      <c r="L219" s="47"/>
      <c r="M219" s="47"/>
      <c r="N219" s="46"/>
    </row>
    <row r="220" spans="1:14" ht="21.75" customHeight="1" x14ac:dyDescent="0.3">
      <c r="A220" s="115" t="str">
        <f t="shared" si="3"/>
        <v/>
      </c>
      <c r="B220" s="101"/>
      <c r="C220" s="58"/>
      <c r="D220" s="58"/>
      <c r="E220" s="58"/>
      <c r="F220" s="54"/>
      <c r="G220" s="58"/>
      <c r="H220" s="101"/>
      <c r="I220" s="97"/>
      <c r="J220" s="54"/>
      <c r="K220" s="54"/>
      <c r="L220" s="54"/>
      <c r="M220" s="54"/>
      <c r="N220" s="58"/>
    </row>
    <row r="221" spans="1:14" ht="21.75" customHeight="1" x14ac:dyDescent="0.3">
      <c r="A221" s="114" t="str">
        <f t="shared" si="3"/>
        <v/>
      </c>
      <c r="B221" s="93"/>
      <c r="C221" s="46"/>
      <c r="D221" s="46"/>
      <c r="E221" s="46"/>
      <c r="F221" s="47"/>
      <c r="G221" s="46"/>
      <c r="H221" s="93"/>
      <c r="I221" s="89"/>
      <c r="J221" s="47"/>
      <c r="K221" s="47"/>
      <c r="L221" s="47"/>
      <c r="M221" s="47"/>
      <c r="N221" s="46"/>
    </row>
    <row r="222" spans="1:14" ht="21.75" customHeight="1" x14ac:dyDescent="0.3">
      <c r="A222" s="115" t="str">
        <f t="shared" si="3"/>
        <v/>
      </c>
      <c r="B222" s="101"/>
      <c r="C222" s="58"/>
      <c r="D222" s="58"/>
      <c r="E222" s="58"/>
      <c r="F222" s="54"/>
      <c r="G222" s="58"/>
      <c r="H222" s="101"/>
      <c r="I222" s="97"/>
      <c r="J222" s="54"/>
      <c r="K222" s="54"/>
      <c r="L222" s="54"/>
      <c r="M222" s="54"/>
      <c r="N222" s="58"/>
    </row>
    <row r="223" spans="1:14" ht="21.75" customHeight="1" x14ac:dyDescent="0.3">
      <c r="A223" s="114" t="str">
        <f t="shared" si="3"/>
        <v/>
      </c>
      <c r="B223" s="93"/>
      <c r="C223" s="46"/>
      <c r="D223" s="46"/>
      <c r="E223" s="46"/>
      <c r="F223" s="47"/>
      <c r="G223" s="46"/>
      <c r="H223" s="93"/>
      <c r="I223" s="89"/>
      <c r="J223" s="47"/>
      <c r="K223" s="47"/>
      <c r="L223" s="47"/>
      <c r="M223" s="47"/>
      <c r="N223" s="46"/>
    </row>
    <row r="224" spans="1:14" ht="21.75" customHeight="1" x14ac:dyDescent="0.3">
      <c r="A224" s="115" t="str">
        <f t="shared" si="3"/>
        <v/>
      </c>
      <c r="B224" s="101"/>
      <c r="C224" s="58"/>
      <c r="D224" s="58"/>
      <c r="E224" s="58"/>
      <c r="F224" s="54"/>
      <c r="G224" s="58"/>
      <c r="H224" s="101"/>
      <c r="I224" s="97"/>
      <c r="J224" s="54"/>
      <c r="K224" s="54"/>
      <c r="L224" s="54"/>
      <c r="M224" s="54"/>
      <c r="N224" s="58"/>
    </row>
    <row r="225" spans="1:14" ht="21.75" customHeight="1" x14ac:dyDescent="0.3">
      <c r="A225" s="114" t="str">
        <f t="shared" si="3"/>
        <v/>
      </c>
      <c r="B225" s="93"/>
      <c r="C225" s="46"/>
      <c r="D225" s="46"/>
      <c r="E225" s="46"/>
      <c r="F225" s="47"/>
      <c r="G225" s="46"/>
      <c r="H225" s="93"/>
      <c r="I225" s="89"/>
      <c r="J225" s="47"/>
      <c r="K225" s="47"/>
      <c r="L225" s="47"/>
      <c r="M225" s="47"/>
      <c r="N225" s="46"/>
    </row>
    <row r="226" spans="1:14" ht="21.75" customHeight="1" x14ac:dyDescent="0.3">
      <c r="A226" s="115" t="str">
        <f t="shared" si="3"/>
        <v/>
      </c>
      <c r="B226" s="101"/>
      <c r="C226" s="58"/>
      <c r="D226" s="58"/>
      <c r="E226" s="58"/>
      <c r="F226" s="54"/>
      <c r="G226" s="58"/>
      <c r="H226" s="101"/>
      <c r="I226" s="97"/>
      <c r="J226" s="54"/>
      <c r="K226" s="54"/>
      <c r="L226" s="54"/>
      <c r="M226" s="54"/>
      <c r="N226" s="58"/>
    </row>
    <row r="227" spans="1:14" ht="21.75" customHeight="1" x14ac:dyDescent="0.3">
      <c r="A227" s="114" t="str">
        <f t="shared" si="3"/>
        <v/>
      </c>
      <c r="B227" s="93"/>
      <c r="C227" s="46"/>
      <c r="D227" s="46"/>
      <c r="E227" s="46"/>
      <c r="F227" s="47"/>
      <c r="G227" s="46"/>
      <c r="H227" s="93"/>
      <c r="I227" s="89"/>
      <c r="J227" s="47"/>
      <c r="K227" s="47"/>
      <c r="L227" s="47"/>
      <c r="M227" s="47"/>
      <c r="N227" s="46"/>
    </row>
    <row r="228" spans="1:14" ht="21.75" customHeight="1" x14ac:dyDescent="0.3">
      <c r="A228" s="115" t="str">
        <f t="shared" si="3"/>
        <v/>
      </c>
      <c r="B228" s="101"/>
      <c r="C228" s="58"/>
      <c r="D228" s="58"/>
      <c r="E228" s="58"/>
      <c r="F228" s="54"/>
      <c r="G228" s="58"/>
      <c r="H228" s="101"/>
      <c r="I228" s="97"/>
      <c r="J228" s="54"/>
      <c r="K228" s="54"/>
      <c r="L228" s="54"/>
      <c r="M228" s="54"/>
      <c r="N228" s="58"/>
    </row>
    <row r="229" spans="1:14" ht="21.75" customHeight="1" x14ac:dyDescent="0.3">
      <c r="A229" s="114" t="str">
        <f t="shared" si="3"/>
        <v/>
      </c>
      <c r="B229" s="93"/>
      <c r="C229" s="46"/>
      <c r="D229" s="46"/>
      <c r="E229" s="46"/>
      <c r="F229" s="47"/>
      <c r="G229" s="46"/>
      <c r="H229" s="93"/>
      <c r="I229" s="89"/>
      <c r="J229" s="47"/>
      <c r="K229" s="47"/>
      <c r="L229" s="47"/>
      <c r="M229" s="47"/>
      <c r="N229" s="46"/>
    </row>
    <row r="230" spans="1:14" ht="21.75" customHeight="1" x14ac:dyDescent="0.3">
      <c r="A230" s="115" t="str">
        <f t="shared" si="3"/>
        <v/>
      </c>
      <c r="B230" s="101"/>
      <c r="C230" s="58"/>
      <c r="D230" s="58"/>
      <c r="E230" s="58"/>
      <c r="F230" s="54"/>
      <c r="G230" s="58"/>
      <c r="H230" s="101"/>
      <c r="I230" s="97"/>
      <c r="J230" s="54"/>
      <c r="K230" s="54"/>
      <c r="L230" s="54"/>
      <c r="M230" s="54"/>
      <c r="N230" s="58"/>
    </row>
    <row r="231" spans="1:14" ht="21.75" customHeight="1" x14ac:dyDescent="0.3">
      <c r="A231" s="114" t="str">
        <f t="shared" si="3"/>
        <v/>
      </c>
      <c r="B231" s="93"/>
      <c r="C231" s="46"/>
      <c r="D231" s="46"/>
      <c r="E231" s="46"/>
      <c r="F231" s="47"/>
      <c r="G231" s="46"/>
      <c r="H231" s="93"/>
      <c r="I231" s="89"/>
      <c r="J231" s="47"/>
      <c r="K231" s="47"/>
      <c r="L231" s="47"/>
      <c r="M231" s="47"/>
      <c r="N231" s="46"/>
    </row>
    <row r="232" spans="1:14" ht="21.75" customHeight="1" x14ac:dyDescent="0.3">
      <c r="A232" s="115" t="str">
        <f t="shared" si="3"/>
        <v/>
      </c>
      <c r="B232" s="101"/>
      <c r="C232" s="58"/>
      <c r="D232" s="58"/>
      <c r="E232" s="58"/>
      <c r="F232" s="54"/>
      <c r="G232" s="58"/>
      <c r="H232" s="101"/>
      <c r="I232" s="97"/>
      <c r="J232" s="54"/>
      <c r="K232" s="54"/>
      <c r="L232" s="54"/>
      <c r="M232" s="54"/>
      <c r="N232" s="58"/>
    </row>
    <row r="233" spans="1:14" ht="21.75" customHeight="1" x14ac:dyDescent="0.3">
      <c r="A233" s="114" t="str">
        <f t="shared" si="3"/>
        <v/>
      </c>
      <c r="B233" s="93"/>
      <c r="C233" s="46"/>
      <c r="D233" s="46"/>
      <c r="E233" s="46"/>
      <c r="F233" s="47"/>
      <c r="G233" s="46"/>
      <c r="H233" s="93"/>
      <c r="I233" s="89"/>
      <c r="J233" s="47"/>
      <c r="K233" s="47"/>
      <c r="L233" s="47"/>
      <c r="M233" s="47"/>
      <c r="N233" s="46"/>
    </row>
    <row r="234" spans="1:14" ht="21.75" customHeight="1" x14ac:dyDescent="0.3">
      <c r="A234" s="115" t="str">
        <f t="shared" si="3"/>
        <v/>
      </c>
      <c r="B234" s="101"/>
      <c r="C234" s="58"/>
      <c r="D234" s="58"/>
      <c r="E234" s="58"/>
      <c r="F234" s="54"/>
      <c r="G234" s="58"/>
      <c r="H234" s="101"/>
      <c r="I234" s="97"/>
      <c r="J234" s="54"/>
      <c r="K234" s="54"/>
      <c r="L234" s="54"/>
      <c r="M234" s="54"/>
      <c r="N234" s="58"/>
    </row>
    <row r="235" spans="1:14" ht="21.75" customHeight="1" x14ac:dyDescent="0.3">
      <c r="A235" s="114" t="str">
        <f t="shared" si="3"/>
        <v/>
      </c>
      <c r="B235" s="93"/>
      <c r="C235" s="46"/>
      <c r="D235" s="46"/>
      <c r="E235" s="46"/>
      <c r="F235" s="47"/>
      <c r="G235" s="46"/>
      <c r="H235" s="93"/>
      <c r="I235" s="89"/>
      <c r="J235" s="47"/>
      <c r="K235" s="47"/>
      <c r="L235" s="47"/>
      <c r="M235" s="47"/>
      <c r="N235" s="46"/>
    </row>
    <row r="236" spans="1:14" ht="21.75" customHeight="1" x14ac:dyDescent="0.3">
      <c r="A236" s="115" t="str">
        <f t="shared" si="3"/>
        <v/>
      </c>
      <c r="B236" s="101"/>
      <c r="C236" s="58"/>
      <c r="D236" s="58"/>
      <c r="E236" s="58"/>
      <c r="F236" s="54"/>
      <c r="G236" s="58"/>
      <c r="H236" s="101"/>
      <c r="I236" s="97"/>
      <c r="J236" s="54"/>
      <c r="K236" s="54"/>
      <c r="L236" s="54"/>
      <c r="M236" s="54"/>
      <c r="N236" s="58"/>
    </row>
    <row r="237" spans="1:14" ht="21.75" customHeight="1" x14ac:dyDescent="0.3">
      <c r="A237" s="114" t="str">
        <f t="shared" si="3"/>
        <v/>
      </c>
      <c r="B237" s="93"/>
      <c r="C237" s="46"/>
      <c r="D237" s="46"/>
      <c r="E237" s="46"/>
      <c r="F237" s="47"/>
      <c r="G237" s="46"/>
      <c r="H237" s="93"/>
      <c r="I237" s="89"/>
      <c r="J237" s="47"/>
      <c r="K237" s="47"/>
      <c r="L237" s="47"/>
      <c r="M237" s="47"/>
      <c r="N237" s="46"/>
    </row>
    <row r="238" spans="1:14" ht="21.75" customHeight="1" x14ac:dyDescent="0.3">
      <c r="A238" s="115" t="str">
        <f t="shared" si="3"/>
        <v/>
      </c>
      <c r="B238" s="101"/>
      <c r="C238" s="58"/>
      <c r="D238" s="58"/>
      <c r="E238" s="58"/>
      <c r="F238" s="54"/>
      <c r="G238" s="58"/>
      <c r="H238" s="101"/>
      <c r="I238" s="97"/>
      <c r="J238" s="54"/>
      <c r="K238" s="54"/>
      <c r="L238" s="54"/>
      <c r="M238" s="54"/>
      <c r="N238" s="58"/>
    </row>
    <row r="239" spans="1:14" ht="21.75" customHeight="1" x14ac:dyDescent="0.3">
      <c r="A239" s="114" t="str">
        <f t="shared" si="3"/>
        <v/>
      </c>
      <c r="B239" s="93"/>
      <c r="C239" s="46"/>
      <c r="D239" s="46"/>
      <c r="E239" s="46"/>
      <c r="F239" s="47"/>
      <c r="G239" s="46"/>
      <c r="H239" s="93"/>
      <c r="I239" s="89"/>
      <c r="J239" s="47"/>
      <c r="K239" s="47"/>
      <c r="L239" s="47"/>
      <c r="M239" s="47"/>
      <c r="N239" s="46"/>
    </row>
    <row r="240" spans="1:14" ht="21.75" customHeight="1" x14ac:dyDescent="0.3">
      <c r="A240" s="115" t="str">
        <f t="shared" si="3"/>
        <v/>
      </c>
      <c r="B240" s="101"/>
      <c r="C240" s="58"/>
      <c r="D240" s="58"/>
      <c r="E240" s="58"/>
      <c r="F240" s="54"/>
      <c r="G240" s="58"/>
      <c r="H240" s="101"/>
      <c r="I240" s="97"/>
      <c r="J240" s="54"/>
      <c r="K240" s="54"/>
      <c r="L240" s="54"/>
      <c r="M240" s="54"/>
      <c r="N240" s="58"/>
    </row>
    <row r="241" spans="1:14" ht="21.75" customHeight="1" x14ac:dyDescent="0.3">
      <c r="A241" s="114" t="str">
        <f t="shared" si="3"/>
        <v/>
      </c>
      <c r="B241" s="93"/>
      <c r="C241" s="46"/>
      <c r="D241" s="46"/>
      <c r="E241" s="46"/>
      <c r="F241" s="47"/>
      <c r="G241" s="46"/>
      <c r="H241" s="93"/>
      <c r="I241" s="89"/>
      <c r="J241" s="47"/>
      <c r="K241" s="47"/>
      <c r="L241" s="47"/>
      <c r="M241" s="47"/>
      <c r="N241" s="46"/>
    </row>
    <row r="242" spans="1:14" ht="21.75" customHeight="1" x14ac:dyDescent="0.3">
      <c r="A242" s="115" t="str">
        <f t="shared" si="3"/>
        <v/>
      </c>
      <c r="B242" s="101"/>
      <c r="C242" s="58"/>
      <c r="D242" s="58"/>
      <c r="E242" s="58"/>
      <c r="F242" s="54"/>
      <c r="G242" s="58"/>
      <c r="H242" s="101"/>
      <c r="I242" s="97"/>
      <c r="J242" s="54"/>
      <c r="K242" s="54"/>
      <c r="L242" s="54"/>
      <c r="M242" s="54"/>
      <c r="N242" s="58"/>
    </row>
    <row r="243" spans="1:14" ht="21.75" customHeight="1" x14ac:dyDescent="0.3">
      <c r="A243" s="114" t="str">
        <f t="shared" si="3"/>
        <v/>
      </c>
      <c r="B243" s="93"/>
      <c r="C243" s="46"/>
      <c r="D243" s="46"/>
      <c r="E243" s="46"/>
      <c r="F243" s="47"/>
      <c r="G243" s="46"/>
      <c r="H243" s="93"/>
      <c r="I243" s="89"/>
      <c r="J243" s="47"/>
      <c r="K243" s="47"/>
      <c r="L243" s="47"/>
      <c r="M243" s="47"/>
      <c r="N243" s="46"/>
    </row>
    <row r="244" spans="1:14" ht="21.75" customHeight="1" x14ac:dyDescent="0.3">
      <c r="A244" s="115" t="str">
        <f t="shared" si="3"/>
        <v/>
      </c>
      <c r="B244" s="101"/>
      <c r="C244" s="58"/>
      <c r="D244" s="58"/>
      <c r="E244" s="58"/>
      <c r="F244" s="54"/>
      <c r="G244" s="58"/>
      <c r="H244" s="101"/>
      <c r="I244" s="97"/>
      <c r="J244" s="54"/>
      <c r="K244" s="54"/>
      <c r="L244" s="54"/>
      <c r="M244" s="54"/>
      <c r="N244" s="58"/>
    </row>
    <row r="245" spans="1:14" ht="21.75" customHeight="1" x14ac:dyDescent="0.3">
      <c r="A245" s="114" t="str">
        <f t="shared" si="3"/>
        <v/>
      </c>
      <c r="B245" s="93"/>
      <c r="C245" s="46"/>
      <c r="D245" s="46"/>
      <c r="E245" s="46"/>
      <c r="F245" s="47"/>
      <c r="G245" s="46"/>
      <c r="H245" s="93"/>
      <c r="I245" s="89"/>
      <c r="J245" s="47"/>
      <c r="K245" s="47"/>
      <c r="L245" s="47"/>
      <c r="M245" s="47"/>
      <c r="N245" s="46"/>
    </row>
    <row r="246" spans="1:14" ht="21.75" customHeight="1" x14ac:dyDescent="0.3">
      <c r="A246" s="115" t="str">
        <f t="shared" si="3"/>
        <v/>
      </c>
      <c r="B246" s="101"/>
      <c r="C246" s="58"/>
      <c r="D246" s="58"/>
      <c r="E246" s="58"/>
      <c r="F246" s="54"/>
      <c r="G246" s="58"/>
      <c r="H246" s="101"/>
      <c r="I246" s="97"/>
      <c r="J246" s="54"/>
      <c r="K246" s="54"/>
      <c r="L246" s="54"/>
      <c r="M246" s="54"/>
      <c r="N246" s="58"/>
    </row>
    <row r="247" spans="1:14" ht="21.75" customHeight="1" x14ac:dyDescent="0.3">
      <c r="A247" s="114" t="str">
        <f t="shared" si="3"/>
        <v/>
      </c>
      <c r="B247" s="93"/>
      <c r="C247" s="46"/>
      <c r="D247" s="46"/>
      <c r="E247" s="46"/>
      <c r="F247" s="47"/>
      <c r="G247" s="46"/>
      <c r="H247" s="93"/>
      <c r="I247" s="89"/>
      <c r="J247" s="47"/>
      <c r="K247" s="47"/>
      <c r="L247" s="47"/>
      <c r="M247" s="47"/>
      <c r="N247" s="46"/>
    </row>
    <row r="248" spans="1:14" ht="21.75" customHeight="1" x14ac:dyDescent="0.3">
      <c r="A248" s="115" t="str">
        <f t="shared" si="3"/>
        <v/>
      </c>
      <c r="B248" s="101"/>
      <c r="C248" s="58"/>
      <c r="D248" s="58"/>
      <c r="E248" s="58"/>
      <c r="F248" s="54"/>
      <c r="G248" s="58"/>
      <c r="H248" s="101"/>
      <c r="I248" s="97"/>
      <c r="J248" s="54"/>
      <c r="K248" s="54"/>
      <c r="L248" s="54"/>
      <c r="M248" s="54"/>
      <c r="N248" s="58"/>
    </row>
    <row r="249" spans="1:14" ht="21.75" customHeight="1" x14ac:dyDescent="0.3">
      <c r="A249" s="114" t="str">
        <f t="shared" si="3"/>
        <v/>
      </c>
      <c r="B249" s="93"/>
      <c r="C249" s="46"/>
      <c r="D249" s="46"/>
      <c r="E249" s="46"/>
      <c r="F249" s="47"/>
      <c r="G249" s="46"/>
      <c r="H249" s="93"/>
      <c r="I249" s="89"/>
      <c r="J249" s="47"/>
      <c r="K249" s="47"/>
      <c r="L249" s="47"/>
      <c r="M249" s="47"/>
      <c r="N249" s="46"/>
    </row>
    <row r="250" spans="1:14" ht="21.75" customHeight="1" x14ac:dyDescent="0.3">
      <c r="A250" s="115" t="str">
        <f t="shared" si="3"/>
        <v/>
      </c>
      <c r="B250" s="101"/>
      <c r="C250" s="58"/>
      <c r="D250" s="58"/>
      <c r="E250" s="58"/>
      <c r="F250" s="54"/>
      <c r="G250" s="58"/>
      <c r="H250" s="101"/>
      <c r="I250" s="97"/>
      <c r="J250" s="54"/>
      <c r="K250" s="54"/>
      <c r="L250" s="54"/>
      <c r="M250" s="54"/>
      <c r="N250" s="58"/>
    </row>
    <row r="251" spans="1:14" ht="21.75" customHeight="1" x14ac:dyDescent="0.3">
      <c r="A251" s="114" t="str">
        <f t="shared" si="3"/>
        <v/>
      </c>
      <c r="B251" s="93"/>
      <c r="C251" s="46"/>
      <c r="D251" s="46"/>
      <c r="E251" s="46"/>
      <c r="F251" s="47"/>
      <c r="G251" s="46"/>
      <c r="H251" s="93"/>
      <c r="I251" s="89"/>
      <c r="J251" s="47"/>
      <c r="K251" s="47"/>
      <c r="L251" s="47"/>
      <c r="M251" s="47"/>
      <c r="N251" s="46"/>
    </row>
    <row r="252" spans="1:14" ht="21.75" customHeight="1" x14ac:dyDescent="0.3">
      <c r="A252" s="115" t="str">
        <f t="shared" si="3"/>
        <v/>
      </c>
      <c r="B252" s="101"/>
      <c r="C252" s="58"/>
      <c r="D252" s="58"/>
      <c r="E252" s="58"/>
      <c r="F252" s="54"/>
      <c r="G252" s="58"/>
      <c r="H252" s="101"/>
      <c r="I252" s="97"/>
      <c r="J252" s="54"/>
      <c r="K252" s="54"/>
      <c r="L252" s="54"/>
      <c r="M252" s="54"/>
      <c r="N252" s="58"/>
    </row>
    <row r="253" spans="1:14" ht="21.75" customHeight="1" x14ac:dyDescent="0.3">
      <c r="A253" s="114" t="str">
        <f t="shared" si="3"/>
        <v/>
      </c>
      <c r="B253" s="93"/>
      <c r="C253" s="46"/>
      <c r="D253" s="46"/>
      <c r="E253" s="46"/>
      <c r="F253" s="47"/>
      <c r="G253" s="46"/>
      <c r="H253" s="93"/>
      <c r="I253" s="89"/>
      <c r="J253" s="47"/>
      <c r="K253" s="47"/>
      <c r="L253" s="47"/>
      <c r="M253" s="47"/>
      <c r="N253" s="46"/>
    </row>
    <row r="254" spans="1:14" ht="21.75" customHeight="1" x14ac:dyDescent="0.3">
      <c r="A254" s="115" t="str">
        <f t="shared" si="3"/>
        <v/>
      </c>
      <c r="B254" s="101"/>
      <c r="C254" s="58"/>
      <c r="D254" s="58"/>
      <c r="E254" s="58"/>
      <c r="F254" s="54"/>
      <c r="G254" s="58"/>
      <c r="H254" s="101"/>
      <c r="I254" s="97"/>
      <c r="J254" s="54"/>
      <c r="K254" s="54"/>
      <c r="L254" s="54"/>
      <c r="M254" s="54"/>
      <c r="N254" s="58"/>
    </row>
    <row r="255" spans="1:14" ht="21.75" customHeight="1" x14ac:dyDescent="0.3">
      <c r="A255" s="114" t="str">
        <f t="shared" si="3"/>
        <v/>
      </c>
      <c r="B255" s="93"/>
      <c r="C255" s="46"/>
      <c r="D255" s="46"/>
      <c r="E255" s="46"/>
      <c r="F255" s="47"/>
      <c r="G255" s="46"/>
      <c r="H255" s="93"/>
      <c r="I255" s="89"/>
      <c r="J255" s="47"/>
      <c r="K255" s="47"/>
      <c r="L255" s="47"/>
      <c r="M255" s="47"/>
      <c r="N255" s="46"/>
    </row>
    <row r="256" spans="1:14" ht="21.75" customHeight="1" x14ac:dyDescent="0.3">
      <c r="A256" s="115" t="str">
        <f t="shared" si="3"/>
        <v/>
      </c>
      <c r="B256" s="101"/>
      <c r="C256" s="58"/>
      <c r="D256" s="58"/>
      <c r="E256" s="58"/>
      <c r="F256" s="54"/>
      <c r="G256" s="58"/>
      <c r="H256" s="101"/>
      <c r="I256" s="97"/>
      <c r="J256" s="54"/>
      <c r="K256" s="54"/>
      <c r="L256" s="54"/>
      <c r="M256" s="54"/>
      <c r="N256" s="58"/>
    </row>
    <row r="257" spans="1:14" ht="21.75" customHeight="1" x14ac:dyDescent="0.3">
      <c r="A257" s="114" t="str">
        <f t="shared" si="3"/>
        <v/>
      </c>
      <c r="B257" s="93"/>
      <c r="C257" s="46"/>
      <c r="D257" s="46"/>
      <c r="E257" s="46"/>
      <c r="F257" s="47"/>
      <c r="G257" s="46"/>
      <c r="H257" s="93"/>
      <c r="I257" s="89"/>
      <c r="J257" s="47"/>
      <c r="K257" s="47"/>
      <c r="L257" s="47"/>
      <c r="M257" s="47"/>
      <c r="N257" s="46"/>
    </row>
    <row r="258" spans="1:14" ht="21.75" customHeight="1" x14ac:dyDescent="0.3">
      <c r="A258" s="115" t="str">
        <f t="shared" si="3"/>
        <v/>
      </c>
      <c r="B258" s="101"/>
      <c r="C258" s="58"/>
      <c r="D258" s="58"/>
      <c r="E258" s="58"/>
      <c r="F258" s="54"/>
      <c r="G258" s="58"/>
      <c r="H258" s="101"/>
      <c r="I258" s="97"/>
      <c r="J258" s="54"/>
      <c r="K258" s="54"/>
      <c r="L258" s="54"/>
      <c r="M258" s="54"/>
      <c r="N258" s="58"/>
    </row>
    <row r="259" spans="1:14" ht="21.75" customHeight="1" x14ac:dyDescent="0.3">
      <c r="A259" s="114" t="str">
        <f t="shared" ref="A259:A322" si="4">IF(B259="","",ROW()-2)</f>
        <v/>
      </c>
      <c r="B259" s="93"/>
      <c r="C259" s="46"/>
      <c r="D259" s="46"/>
      <c r="E259" s="46"/>
      <c r="F259" s="47"/>
      <c r="G259" s="46"/>
      <c r="H259" s="93"/>
      <c r="I259" s="89"/>
      <c r="J259" s="47"/>
      <c r="K259" s="47"/>
      <c r="L259" s="47"/>
      <c r="M259" s="47"/>
      <c r="N259" s="46"/>
    </row>
    <row r="260" spans="1:14" ht="21.75" customHeight="1" x14ac:dyDescent="0.3">
      <c r="A260" s="115" t="str">
        <f t="shared" si="4"/>
        <v/>
      </c>
      <c r="B260" s="101"/>
      <c r="C260" s="58"/>
      <c r="D260" s="58"/>
      <c r="E260" s="58"/>
      <c r="F260" s="54"/>
      <c r="G260" s="58"/>
      <c r="H260" s="101"/>
      <c r="I260" s="97"/>
      <c r="J260" s="54"/>
      <c r="K260" s="54"/>
      <c r="L260" s="54"/>
      <c r="M260" s="54"/>
      <c r="N260" s="58"/>
    </row>
    <row r="261" spans="1:14" ht="21.75" customHeight="1" x14ac:dyDescent="0.3">
      <c r="A261" s="114" t="str">
        <f t="shared" si="4"/>
        <v/>
      </c>
      <c r="B261" s="93"/>
      <c r="C261" s="46"/>
      <c r="D261" s="46"/>
      <c r="E261" s="46"/>
      <c r="F261" s="47"/>
      <c r="G261" s="46"/>
      <c r="H261" s="93"/>
      <c r="I261" s="89"/>
      <c r="J261" s="47"/>
      <c r="K261" s="47"/>
      <c r="L261" s="47"/>
      <c r="M261" s="47"/>
      <c r="N261" s="46"/>
    </row>
    <row r="262" spans="1:14" ht="21.75" customHeight="1" x14ac:dyDescent="0.3">
      <c r="A262" s="115" t="str">
        <f t="shared" si="4"/>
        <v/>
      </c>
      <c r="B262" s="101"/>
      <c r="C262" s="58"/>
      <c r="D262" s="58"/>
      <c r="E262" s="58"/>
      <c r="F262" s="54"/>
      <c r="G262" s="58"/>
      <c r="H262" s="101"/>
      <c r="I262" s="97"/>
      <c r="J262" s="54"/>
      <c r="K262" s="54"/>
      <c r="L262" s="54"/>
      <c r="M262" s="54"/>
      <c r="N262" s="58"/>
    </row>
    <row r="263" spans="1:14" ht="21.75" customHeight="1" x14ac:dyDescent="0.3">
      <c r="A263" s="114" t="str">
        <f t="shared" si="4"/>
        <v/>
      </c>
      <c r="B263" s="93"/>
      <c r="C263" s="46"/>
      <c r="D263" s="46"/>
      <c r="E263" s="46"/>
      <c r="F263" s="47"/>
      <c r="G263" s="46"/>
      <c r="H263" s="93"/>
      <c r="I263" s="89"/>
      <c r="J263" s="47"/>
      <c r="K263" s="47"/>
      <c r="L263" s="47"/>
      <c r="M263" s="47"/>
      <c r="N263" s="46"/>
    </row>
    <row r="264" spans="1:14" ht="21.75" customHeight="1" x14ac:dyDescent="0.3">
      <c r="A264" s="115" t="str">
        <f t="shared" si="4"/>
        <v/>
      </c>
      <c r="B264" s="101"/>
      <c r="C264" s="58"/>
      <c r="D264" s="58"/>
      <c r="E264" s="58"/>
      <c r="F264" s="54"/>
      <c r="G264" s="58"/>
      <c r="H264" s="101"/>
      <c r="I264" s="97"/>
      <c r="J264" s="54"/>
      <c r="K264" s="54"/>
      <c r="L264" s="54"/>
      <c r="M264" s="54"/>
      <c r="N264" s="58"/>
    </row>
    <row r="265" spans="1:14" ht="21.75" customHeight="1" x14ac:dyDescent="0.3">
      <c r="A265" s="114" t="str">
        <f t="shared" si="4"/>
        <v/>
      </c>
      <c r="B265" s="93"/>
      <c r="C265" s="46"/>
      <c r="D265" s="46"/>
      <c r="E265" s="46"/>
      <c r="F265" s="47"/>
      <c r="G265" s="46"/>
      <c r="H265" s="93"/>
      <c r="I265" s="89"/>
      <c r="J265" s="47"/>
      <c r="K265" s="47"/>
      <c r="L265" s="47"/>
      <c r="M265" s="47"/>
      <c r="N265" s="46"/>
    </row>
    <row r="266" spans="1:14" ht="21.75" customHeight="1" x14ac:dyDescent="0.3">
      <c r="A266" s="115" t="str">
        <f t="shared" si="4"/>
        <v/>
      </c>
      <c r="B266" s="101"/>
      <c r="C266" s="58"/>
      <c r="D266" s="58"/>
      <c r="E266" s="58"/>
      <c r="F266" s="54"/>
      <c r="G266" s="58"/>
      <c r="H266" s="101"/>
      <c r="I266" s="97"/>
      <c r="J266" s="54"/>
      <c r="K266" s="54"/>
      <c r="L266" s="54"/>
      <c r="M266" s="54"/>
      <c r="N266" s="58"/>
    </row>
    <row r="267" spans="1:14" ht="21.75" customHeight="1" x14ac:dyDescent="0.3">
      <c r="A267" s="114" t="str">
        <f t="shared" si="4"/>
        <v/>
      </c>
      <c r="B267" s="93"/>
      <c r="C267" s="46"/>
      <c r="D267" s="46"/>
      <c r="E267" s="46"/>
      <c r="F267" s="47"/>
      <c r="G267" s="46"/>
      <c r="H267" s="93"/>
      <c r="I267" s="89"/>
      <c r="J267" s="47"/>
      <c r="K267" s="47"/>
      <c r="L267" s="47"/>
      <c r="M267" s="47"/>
      <c r="N267" s="46"/>
    </row>
    <row r="268" spans="1:14" ht="21.75" customHeight="1" x14ac:dyDescent="0.3">
      <c r="A268" s="115" t="str">
        <f t="shared" si="4"/>
        <v/>
      </c>
      <c r="B268" s="101"/>
      <c r="C268" s="58"/>
      <c r="D268" s="58"/>
      <c r="E268" s="58"/>
      <c r="F268" s="54"/>
      <c r="G268" s="58"/>
      <c r="H268" s="101"/>
      <c r="I268" s="97"/>
      <c r="J268" s="54"/>
      <c r="K268" s="54"/>
      <c r="L268" s="54"/>
      <c r="M268" s="54"/>
      <c r="N268" s="58"/>
    </row>
    <row r="269" spans="1:14" ht="21.75" customHeight="1" x14ac:dyDescent="0.3">
      <c r="A269" s="114" t="str">
        <f t="shared" si="4"/>
        <v/>
      </c>
      <c r="B269" s="93"/>
      <c r="C269" s="46"/>
      <c r="D269" s="46"/>
      <c r="E269" s="46"/>
      <c r="F269" s="47"/>
      <c r="G269" s="46"/>
      <c r="H269" s="93"/>
      <c r="I269" s="89"/>
      <c r="J269" s="47"/>
      <c r="K269" s="47"/>
      <c r="L269" s="47"/>
      <c r="M269" s="47"/>
      <c r="N269" s="46"/>
    </row>
    <row r="270" spans="1:14" ht="21.75" customHeight="1" x14ac:dyDescent="0.3">
      <c r="A270" s="115" t="str">
        <f t="shared" si="4"/>
        <v/>
      </c>
      <c r="B270" s="101"/>
      <c r="C270" s="58"/>
      <c r="D270" s="58"/>
      <c r="E270" s="58"/>
      <c r="F270" s="54"/>
      <c r="G270" s="58"/>
      <c r="H270" s="101"/>
      <c r="I270" s="97"/>
      <c r="J270" s="54"/>
      <c r="K270" s="54"/>
      <c r="L270" s="54"/>
      <c r="M270" s="54"/>
      <c r="N270" s="58"/>
    </row>
    <row r="271" spans="1:14" ht="21.75" customHeight="1" x14ac:dyDescent="0.3">
      <c r="A271" s="114" t="str">
        <f t="shared" si="4"/>
        <v/>
      </c>
      <c r="B271" s="93"/>
      <c r="C271" s="46"/>
      <c r="D271" s="46"/>
      <c r="E271" s="46"/>
      <c r="F271" s="47"/>
      <c r="G271" s="46"/>
      <c r="H271" s="93"/>
      <c r="I271" s="89"/>
      <c r="J271" s="47"/>
      <c r="K271" s="47"/>
      <c r="L271" s="47"/>
      <c r="M271" s="47"/>
      <c r="N271" s="46"/>
    </row>
    <row r="272" spans="1:14" ht="21.75" customHeight="1" x14ac:dyDescent="0.3">
      <c r="A272" s="115" t="str">
        <f t="shared" si="4"/>
        <v/>
      </c>
      <c r="B272" s="101"/>
      <c r="C272" s="58"/>
      <c r="D272" s="58"/>
      <c r="E272" s="58"/>
      <c r="F272" s="54"/>
      <c r="G272" s="58"/>
      <c r="H272" s="101"/>
      <c r="I272" s="97"/>
      <c r="J272" s="54"/>
      <c r="K272" s="54"/>
      <c r="L272" s="54"/>
      <c r="M272" s="54"/>
      <c r="N272" s="58"/>
    </row>
    <row r="273" spans="1:14" ht="21.75" customHeight="1" x14ac:dyDescent="0.3">
      <c r="A273" s="114" t="str">
        <f t="shared" si="4"/>
        <v/>
      </c>
      <c r="B273" s="93"/>
      <c r="C273" s="46"/>
      <c r="D273" s="46"/>
      <c r="E273" s="46"/>
      <c r="F273" s="47"/>
      <c r="G273" s="46"/>
      <c r="H273" s="93"/>
      <c r="I273" s="89"/>
      <c r="J273" s="47"/>
      <c r="K273" s="47"/>
      <c r="L273" s="47"/>
      <c r="M273" s="47"/>
      <c r="N273" s="46"/>
    </row>
    <row r="274" spans="1:14" ht="21.75" customHeight="1" x14ac:dyDescent="0.3">
      <c r="A274" s="115" t="str">
        <f t="shared" si="4"/>
        <v/>
      </c>
      <c r="B274" s="101"/>
      <c r="C274" s="58"/>
      <c r="D274" s="58"/>
      <c r="E274" s="58"/>
      <c r="F274" s="54"/>
      <c r="G274" s="58"/>
      <c r="H274" s="101"/>
      <c r="I274" s="97"/>
      <c r="J274" s="54"/>
      <c r="K274" s="54"/>
      <c r="L274" s="54"/>
      <c r="M274" s="54"/>
      <c r="N274" s="58"/>
    </row>
    <row r="275" spans="1:14" ht="21.75" customHeight="1" x14ac:dyDescent="0.3">
      <c r="A275" s="114" t="str">
        <f t="shared" si="4"/>
        <v/>
      </c>
      <c r="B275" s="93"/>
      <c r="C275" s="46"/>
      <c r="D275" s="46"/>
      <c r="E275" s="46"/>
      <c r="F275" s="47"/>
      <c r="G275" s="46"/>
      <c r="H275" s="93"/>
      <c r="I275" s="89"/>
      <c r="J275" s="47"/>
      <c r="K275" s="47"/>
      <c r="L275" s="47"/>
      <c r="M275" s="47"/>
      <c r="N275" s="46"/>
    </row>
    <row r="276" spans="1:14" ht="21.75" customHeight="1" x14ac:dyDescent="0.3">
      <c r="A276" s="115" t="str">
        <f t="shared" si="4"/>
        <v/>
      </c>
      <c r="B276" s="101"/>
      <c r="C276" s="58"/>
      <c r="D276" s="58"/>
      <c r="E276" s="58"/>
      <c r="F276" s="54"/>
      <c r="G276" s="58"/>
      <c r="H276" s="101"/>
      <c r="I276" s="97"/>
      <c r="J276" s="54"/>
      <c r="K276" s="54"/>
      <c r="L276" s="54"/>
      <c r="M276" s="54"/>
      <c r="N276" s="58"/>
    </row>
    <row r="277" spans="1:14" ht="21.75" customHeight="1" x14ac:dyDescent="0.3">
      <c r="A277" s="114" t="str">
        <f t="shared" si="4"/>
        <v/>
      </c>
      <c r="B277" s="93"/>
      <c r="C277" s="46"/>
      <c r="D277" s="46"/>
      <c r="E277" s="46"/>
      <c r="F277" s="47"/>
      <c r="G277" s="46"/>
      <c r="H277" s="93"/>
      <c r="I277" s="89"/>
      <c r="J277" s="47"/>
      <c r="K277" s="47"/>
      <c r="L277" s="47"/>
      <c r="M277" s="47"/>
      <c r="N277" s="46"/>
    </row>
    <row r="278" spans="1:14" ht="21.75" customHeight="1" x14ac:dyDescent="0.3">
      <c r="A278" s="115" t="str">
        <f t="shared" si="4"/>
        <v/>
      </c>
      <c r="B278" s="101"/>
      <c r="C278" s="58"/>
      <c r="D278" s="58"/>
      <c r="E278" s="58"/>
      <c r="F278" s="54"/>
      <c r="G278" s="58"/>
      <c r="H278" s="101"/>
      <c r="I278" s="97"/>
      <c r="J278" s="54"/>
      <c r="K278" s="54"/>
      <c r="L278" s="54"/>
      <c r="M278" s="54"/>
      <c r="N278" s="58"/>
    </row>
    <row r="279" spans="1:14" ht="21.75" customHeight="1" x14ac:dyDescent="0.3">
      <c r="A279" s="114" t="str">
        <f t="shared" si="4"/>
        <v/>
      </c>
      <c r="B279" s="93"/>
      <c r="C279" s="46"/>
      <c r="D279" s="46"/>
      <c r="E279" s="46"/>
      <c r="F279" s="47"/>
      <c r="G279" s="46"/>
      <c r="H279" s="93"/>
      <c r="I279" s="89"/>
      <c r="J279" s="47"/>
      <c r="K279" s="47"/>
      <c r="L279" s="47"/>
      <c r="M279" s="47"/>
      <c r="N279" s="46"/>
    </row>
    <row r="280" spans="1:14" ht="21.75" customHeight="1" x14ac:dyDescent="0.3">
      <c r="A280" s="115" t="str">
        <f t="shared" si="4"/>
        <v/>
      </c>
      <c r="B280" s="101"/>
      <c r="C280" s="58"/>
      <c r="D280" s="58"/>
      <c r="E280" s="58"/>
      <c r="F280" s="54"/>
      <c r="G280" s="58"/>
      <c r="H280" s="101"/>
      <c r="I280" s="97"/>
      <c r="J280" s="54"/>
      <c r="K280" s="54"/>
      <c r="L280" s="54"/>
      <c r="M280" s="54"/>
      <c r="N280" s="58"/>
    </row>
    <row r="281" spans="1:14" ht="21.75" customHeight="1" x14ac:dyDescent="0.3">
      <c r="A281" s="114" t="str">
        <f t="shared" si="4"/>
        <v/>
      </c>
      <c r="B281" s="93"/>
      <c r="C281" s="46"/>
      <c r="D281" s="46"/>
      <c r="E281" s="46"/>
      <c r="F281" s="47"/>
      <c r="G281" s="46"/>
      <c r="H281" s="93"/>
      <c r="I281" s="89"/>
      <c r="J281" s="47"/>
      <c r="K281" s="47"/>
      <c r="L281" s="47"/>
      <c r="M281" s="47"/>
      <c r="N281" s="46"/>
    </row>
    <row r="282" spans="1:14" ht="21.75" customHeight="1" x14ac:dyDescent="0.3">
      <c r="A282" s="115" t="str">
        <f t="shared" si="4"/>
        <v/>
      </c>
      <c r="B282" s="101"/>
      <c r="C282" s="58"/>
      <c r="D282" s="58"/>
      <c r="E282" s="58"/>
      <c r="F282" s="54"/>
      <c r="G282" s="58"/>
      <c r="H282" s="101"/>
      <c r="I282" s="97"/>
      <c r="J282" s="54"/>
      <c r="K282" s="54"/>
      <c r="L282" s="54"/>
      <c r="M282" s="54"/>
      <c r="N282" s="58"/>
    </row>
    <row r="283" spans="1:14" ht="21.75" customHeight="1" x14ac:dyDescent="0.3">
      <c r="A283" s="114" t="str">
        <f t="shared" si="4"/>
        <v/>
      </c>
      <c r="B283" s="93"/>
      <c r="C283" s="46"/>
      <c r="D283" s="46"/>
      <c r="E283" s="46"/>
      <c r="F283" s="47"/>
      <c r="G283" s="46"/>
      <c r="H283" s="93"/>
      <c r="I283" s="89"/>
      <c r="J283" s="47"/>
      <c r="K283" s="47"/>
      <c r="L283" s="47"/>
      <c r="M283" s="47"/>
      <c r="N283" s="46"/>
    </row>
    <row r="284" spans="1:14" ht="21.75" customHeight="1" x14ac:dyDescent="0.3">
      <c r="A284" s="115" t="str">
        <f t="shared" si="4"/>
        <v/>
      </c>
      <c r="B284" s="101"/>
      <c r="C284" s="58"/>
      <c r="D284" s="58"/>
      <c r="E284" s="58"/>
      <c r="F284" s="54"/>
      <c r="G284" s="58"/>
      <c r="H284" s="101"/>
      <c r="I284" s="97"/>
      <c r="J284" s="54"/>
      <c r="K284" s="54"/>
      <c r="L284" s="54"/>
      <c r="M284" s="54"/>
      <c r="N284" s="58"/>
    </row>
    <row r="285" spans="1:14" ht="21.75" customHeight="1" x14ac:dyDescent="0.3">
      <c r="A285" s="114" t="str">
        <f t="shared" si="4"/>
        <v/>
      </c>
      <c r="B285" s="93"/>
      <c r="C285" s="46"/>
      <c r="D285" s="46"/>
      <c r="E285" s="46"/>
      <c r="F285" s="47"/>
      <c r="G285" s="46"/>
      <c r="H285" s="93"/>
      <c r="I285" s="89"/>
      <c r="J285" s="47"/>
      <c r="K285" s="47"/>
      <c r="L285" s="47"/>
      <c r="M285" s="47"/>
      <c r="N285" s="46"/>
    </row>
    <row r="286" spans="1:14" ht="21.75" customHeight="1" x14ac:dyDescent="0.3">
      <c r="A286" s="115" t="str">
        <f t="shared" si="4"/>
        <v/>
      </c>
      <c r="B286" s="101"/>
      <c r="C286" s="58"/>
      <c r="D286" s="58"/>
      <c r="E286" s="58"/>
      <c r="F286" s="54"/>
      <c r="G286" s="58"/>
      <c r="H286" s="101"/>
      <c r="I286" s="97"/>
      <c r="J286" s="54"/>
      <c r="K286" s="54"/>
      <c r="L286" s="54"/>
      <c r="M286" s="54"/>
      <c r="N286" s="58"/>
    </row>
    <row r="287" spans="1:14" ht="21.75" customHeight="1" x14ac:dyDescent="0.3">
      <c r="A287" s="114" t="str">
        <f t="shared" si="4"/>
        <v/>
      </c>
      <c r="B287" s="93"/>
      <c r="C287" s="46"/>
      <c r="D287" s="46"/>
      <c r="E287" s="46"/>
      <c r="F287" s="47"/>
      <c r="G287" s="46"/>
      <c r="H287" s="93"/>
      <c r="I287" s="89"/>
      <c r="J287" s="47"/>
      <c r="K287" s="47"/>
      <c r="L287" s="47"/>
      <c r="M287" s="47"/>
      <c r="N287" s="46"/>
    </row>
    <row r="288" spans="1:14" ht="21.75" customHeight="1" x14ac:dyDescent="0.3">
      <c r="A288" s="115" t="str">
        <f t="shared" si="4"/>
        <v/>
      </c>
      <c r="B288" s="101"/>
      <c r="C288" s="58"/>
      <c r="D288" s="58"/>
      <c r="E288" s="58"/>
      <c r="F288" s="54"/>
      <c r="G288" s="58"/>
      <c r="H288" s="101"/>
      <c r="I288" s="97"/>
      <c r="J288" s="54"/>
      <c r="K288" s="54"/>
      <c r="L288" s="54"/>
      <c r="M288" s="54"/>
      <c r="N288" s="58"/>
    </row>
    <row r="289" spans="1:14" ht="21.75" customHeight="1" x14ac:dyDescent="0.3">
      <c r="A289" s="114" t="str">
        <f t="shared" si="4"/>
        <v/>
      </c>
      <c r="B289" s="93"/>
      <c r="C289" s="46"/>
      <c r="D289" s="46"/>
      <c r="E289" s="46"/>
      <c r="F289" s="47"/>
      <c r="G289" s="46"/>
      <c r="H289" s="93"/>
      <c r="I289" s="89"/>
      <c r="J289" s="47"/>
      <c r="K289" s="47"/>
      <c r="L289" s="47"/>
      <c r="M289" s="47"/>
      <c r="N289" s="46"/>
    </row>
    <row r="290" spans="1:14" ht="21.75" customHeight="1" x14ac:dyDescent="0.3">
      <c r="A290" s="115" t="str">
        <f t="shared" si="4"/>
        <v/>
      </c>
      <c r="B290" s="101"/>
      <c r="C290" s="58"/>
      <c r="D290" s="58"/>
      <c r="E290" s="58"/>
      <c r="F290" s="54"/>
      <c r="G290" s="58"/>
      <c r="H290" s="101"/>
      <c r="I290" s="97"/>
      <c r="J290" s="54"/>
      <c r="K290" s="54"/>
      <c r="L290" s="54"/>
      <c r="M290" s="54"/>
      <c r="N290" s="58"/>
    </row>
    <row r="291" spans="1:14" ht="21.75" customHeight="1" x14ac:dyDescent="0.3">
      <c r="A291" s="114" t="str">
        <f t="shared" si="4"/>
        <v/>
      </c>
      <c r="B291" s="93"/>
      <c r="C291" s="46"/>
      <c r="D291" s="46"/>
      <c r="E291" s="46"/>
      <c r="F291" s="47"/>
      <c r="G291" s="46"/>
      <c r="H291" s="93"/>
      <c r="I291" s="89"/>
      <c r="J291" s="47"/>
      <c r="K291" s="47"/>
      <c r="L291" s="47"/>
      <c r="M291" s="47"/>
      <c r="N291" s="46"/>
    </row>
    <row r="292" spans="1:14" ht="21.75" customHeight="1" x14ac:dyDescent="0.3">
      <c r="A292" s="115" t="str">
        <f t="shared" si="4"/>
        <v/>
      </c>
      <c r="B292" s="101"/>
      <c r="C292" s="58"/>
      <c r="D292" s="58"/>
      <c r="E292" s="58"/>
      <c r="F292" s="54"/>
      <c r="G292" s="58"/>
      <c r="H292" s="101"/>
      <c r="I292" s="97"/>
      <c r="J292" s="54"/>
      <c r="K292" s="54"/>
      <c r="L292" s="54"/>
      <c r="M292" s="54"/>
      <c r="N292" s="58"/>
    </row>
    <row r="293" spans="1:14" ht="21.75" customHeight="1" x14ac:dyDescent="0.3">
      <c r="A293" s="114" t="str">
        <f t="shared" si="4"/>
        <v/>
      </c>
      <c r="B293" s="93"/>
      <c r="C293" s="46"/>
      <c r="D293" s="46"/>
      <c r="E293" s="46"/>
      <c r="F293" s="47"/>
      <c r="G293" s="46"/>
      <c r="H293" s="93"/>
      <c r="I293" s="89"/>
      <c r="J293" s="47"/>
      <c r="K293" s="47"/>
      <c r="L293" s="47"/>
      <c r="M293" s="47"/>
      <c r="N293" s="46"/>
    </row>
    <row r="294" spans="1:14" ht="21.75" customHeight="1" x14ac:dyDescent="0.3">
      <c r="A294" s="115" t="str">
        <f t="shared" si="4"/>
        <v/>
      </c>
      <c r="B294" s="101"/>
      <c r="C294" s="58"/>
      <c r="D294" s="58"/>
      <c r="E294" s="58"/>
      <c r="F294" s="54"/>
      <c r="G294" s="58"/>
      <c r="H294" s="101"/>
      <c r="I294" s="97"/>
      <c r="J294" s="54"/>
      <c r="K294" s="54"/>
      <c r="L294" s="54"/>
      <c r="M294" s="54"/>
      <c r="N294" s="58"/>
    </row>
    <row r="295" spans="1:14" ht="21.75" customHeight="1" x14ac:dyDescent="0.3">
      <c r="A295" s="114" t="str">
        <f t="shared" si="4"/>
        <v/>
      </c>
      <c r="B295" s="93"/>
      <c r="C295" s="46"/>
      <c r="D295" s="46"/>
      <c r="E295" s="46"/>
      <c r="F295" s="47"/>
      <c r="G295" s="46"/>
      <c r="H295" s="93"/>
      <c r="I295" s="89"/>
      <c r="J295" s="47"/>
      <c r="K295" s="47"/>
      <c r="L295" s="47"/>
      <c r="M295" s="47"/>
      <c r="N295" s="46"/>
    </row>
    <row r="296" spans="1:14" ht="21.75" customHeight="1" x14ac:dyDescent="0.3">
      <c r="A296" s="115" t="str">
        <f t="shared" si="4"/>
        <v/>
      </c>
      <c r="B296" s="101"/>
      <c r="C296" s="58"/>
      <c r="D296" s="58"/>
      <c r="E296" s="58"/>
      <c r="F296" s="54"/>
      <c r="G296" s="58"/>
      <c r="H296" s="101"/>
      <c r="I296" s="97"/>
      <c r="J296" s="54"/>
      <c r="K296" s="54"/>
      <c r="L296" s="54"/>
      <c r="M296" s="54"/>
      <c r="N296" s="58"/>
    </row>
    <row r="297" spans="1:14" ht="21.75" customHeight="1" x14ac:dyDescent="0.3">
      <c r="A297" s="114" t="str">
        <f t="shared" si="4"/>
        <v/>
      </c>
      <c r="B297" s="93"/>
      <c r="C297" s="46"/>
      <c r="D297" s="46"/>
      <c r="E297" s="46"/>
      <c r="F297" s="47"/>
      <c r="G297" s="46"/>
      <c r="H297" s="93"/>
      <c r="I297" s="89"/>
      <c r="J297" s="47"/>
      <c r="K297" s="47"/>
      <c r="L297" s="47"/>
      <c r="M297" s="47"/>
      <c r="N297" s="46"/>
    </row>
    <row r="298" spans="1:14" ht="21.75" customHeight="1" x14ac:dyDescent="0.3">
      <c r="A298" s="115" t="str">
        <f t="shared" si="4"/>
        <v/>
      </c>
      <c r="B298" s="101"/>
      <c r="C298" s="58"/>
      <c r="D298" s="58"/>
      <c r="E298" s="58"/>
      <c r="F298" s="54"/>
      <c r="G298" s="58"/>
      <c r="H298" s="101"/>
      <c r="I298" s="97"/>
      <c r="J298" s="54"/>
      <c r="K298" s="54"/>
      <c r="L298" s="54"/>
      <c r="M298" s="54"/>
      <c r="N298" s="58"/>
    </row>
    <row r="299" spans="1:14" ht="21.75" customHeight="1" x14ac:dyDescent="0.3">
      <c r="A299" s="114" t="str">
        <f t="shared" si="4"/>
        <v/>
      </c>
      <c r="B299" s="93"/>
      <c r="C299" s="46"/>
      <c r="D299" s="46"/>
      <c r="E299" s="46"/>
      <c r="F299" s="47"/>
      <c r="G299" s="46"/>
      <c r="H299" s="93"/>
      <c r="I299" s="89"/>
      <c r="J299" s="47"/>
      <c r="K299" s="47"/>
      <c r="L299" s="47"/>
      <c r="M299" s="47"/>
      <c r="N299" s="46"/>
    </row>
    <row r="300" spans="1:14" ht="21.75" customHeight="1" x14ac:dyDescent="0.3">
      <c r="A300" s="115" t="str">
        <f t="shared" si="4"/>
        <v/>
      </c>
      <c r="B300" s="101"/>
      <c r="C300" s="58"/>
      <c r="D300" s="58"/>
      <c r="E300" s="58"/>
      <c r="F300" s="54"/>
      <c r="G300" s="58"/>
      <c r="H300" s="101"/>
      <c r="I300" s="97"/>
      <c r="J300" s="54"/>
      <c r="K300" s="54"/>
      <c r="L300" s="54"/>
      <c r="M300" s="54"/>
      <c r="N300" s="58"/>
    </row>
    <row r="301" spans="1:14" ht="21.75" customHeight="1" x14ac:dyDescent="0.3">
      <c r="A301" s="114" t="str">
        <f t="shared" si="4"/>
        <v/>
      </c>
      <c r="B301" s="93"/>
      <c r="C301" s="46"/>
      <c r="D301" s="46"/>
      <c r="E301" s="46"/>
      <c r="F301" s="47"/>
      <c r="G301" s="46"/>
      <c r="H301" s="93"/>
      <c r="I301" s="89"/>
      <c r="J301" s="47"/>
      <c r="K301" s="47"/>
      <c r="L301" s="47"/>
      <c r="M301" s="47"/>
      <c r="N301" s="46"/>
    </row>
    <row r="302" spans="1:14" ht="21.75" customHeight="1" x14ac:dyDescent="0.3">
      <c r="A302" s="115" t="str">
        <f t="shared" si="4"/>
        <v/>
      </c>
      <c r="B302" s="101"/>
      <c r="C302" s="58"/>
      <c r="D302" s="58"/>
      <c r="E302" s="58"/>
      <c r="F302" s="54"/>
      <c r="G302" s="58"/>
      <c r="H302" s="101"/>
      <c r="I302" s="97"/>
      <c r="J302" s="54"/>
      <c r="K302" s="54"/>
      <c r="L302" s="54"/>
      <c r="M302" s="54"/>
      <c r="N302" s="58"/>
    </row>
    <row r="303" spans="1:14" ht="21.75" customHeight="1" x14ac:dyDescent="0.3">
      <c r="A303" s="114" t="str">
        <f t="shared" si="4"/>
        <v/>
      </c>
      <c r="B303" s="93"/>
      <c r="C303" s="46"/>
      <c r="D303" s="46"/>
      <c r="E303" s="46"/>
      <c r="F303" s="47"/>
      <c r="G303" s="46"/>
      <c r="H303" s="93"/>
      <c r="I303" s="89"/>
      <c r="J303" s="47"/>
      <c r="K303" s="47"/>
      <c r="L303" s="47"/>
      <c r="M303" s="47"/>
      <c r="N303" s="46"/>
    </row>
    <row r="304" spans="1:14" ht="21.75" customHeight="1" x14ac:dyDescent="0.3">
      <c r="A304" s="115" t="str">
        <f t="shared" si="4"/>
        <v/>
      </c>
      <c r="B304" s="101"/>
      <c r="C304" s="58"/>
      <c r="D304" s="58"/>
      <c r="E304" s="58"/>
      <c r="F304" s="54"/>
      <c r="G304" s="58"/>
      <c r="H304" s="101"/>
      <c r="I304" s="97"/>
      <c r="J304" s="54"/>
      <c r="K304" s="54"/>
      <c r="L304" s="54"/>
      <c r="M304" s="54"/>
      <c r="N304" s="58"/>
    </row>
    <row r="305" spans="1:14" ht="21.75" customHeight="1" x14ac:dyDescent="0.3">
      <c r="A305" s="114" t="str">
        <f t="shared" si="4"/>
        <v/>
      </c>
      <c r="B305" s="93"/>
      <c r="C305" s="46"/>
      <c r="D305" s="46"/>
      <c r="E305" s="46"/>
      <c r="F305" s="47"/>
      <c r="G305" s="46"/>
      <c r="H305" s="93"/>
      <c r="I305" s="89"/>
      <c r="J305" s="47"/>
      <c r="K305" s="47"/>
      <c r="L305" s="47"/>
      <c r="M305" s="47"/>
      <c r="N305" s="46"/>
    </row>
    <row r="306" spans="1:14" ht="21.75" customHeight="1" x14ac:dyDescent="0.3">
      <c r="A306" s="115" t="str">
        <f t="shared" si="4"/>
        <v/>
      </c>
      <c r="B306" s="101"/>
      <c r="C306" s="58"/>
      <c r="D306" s="58"/>
      <c r="E306" s="58"/>
      <c r="F306" s="54"/>
      <c r="G306" s="58"/>
      <c r="H306" s="101"/>
      <c r="I306" s="97"/>
      <c r="J306" s="54"/>
      <c r="K306" s="54"/>
      <c r="L306" s="54"/>
      <c r="M306" s="54"/>
      <c r="N306" s="58"/>
    </row>
    <row r="307" spans="1:14" ht="21.75" customHeight="1" x14ac:dyDescent="0.3">
      <c r="A307" s="114" t="str">
        <f t="shared" si="4"/>
        <v/>
      </c>
      <c r="B307" s="93"/>
      <c r="C307" s="46"/>
      <c r="D307" s="46"/>
      <c r="E307" s="46"/>
      <c r="F307" s="47"/>
      <c r="G307" s="46"/>
      <c r="H307" s="93"/>
      <c r="I307" s="89"/>
      <c r="J307" s="47"/>
      <c r="K307" s="47"/>
      <c r="L307" s="47"/>
      <c r="M307" s="47"/>
      <c r="N307" s="46"/>
    </row>
    <row r="308" spans="1:14" ht="21.75" customHeight="1" x14ac:dyDescent="0.3">
      <c r="A308" s="115" t="str">
        <f t="shared" si="4"/>
        <v/>
      </c>
      <c r="B308" s="101"/>
      <c r="C308" s="58"/>
      <c r="D308" s="58"/>
      <c r="E308" s="58"/>
      <c r="F308" s="54"/>
      <c r="G308" s="58"/>
      <c r="H308" s="101"/>
      <c r="I308" s="97"/>
      <c r="J308" s="54"/>
      <c r="K308" s="54"/>
      <c r="L308" s="54"/>
      <c r="M308" s="54"/>
      <c r="N308" s="58"/>
    </row>
    <row r="309" spans="1:14" ht="21.75" customHeight="1" x14ac:dyDescent="0.3">
      <c r="A309" s="114" t="str">
        <f t="shared" si="4"/>
        <v/>
      </c>
      <c r="B309" s="93"/>
      <c r="C309" s="46"/>
      <c r="D309" s="46"/>
      <c r="E309" s="46"/>
      <c r="F309" s="47"/>
      <c r="G309" s="46"/>
      <c r="H309" s="93"/>
      <c r="I309" s="89"/>
      <c r="J309" s="47"/>
      <c r="K309" s="47"/>
      <c r="L309" s="47"/>
      <c r="M309" s="47"/>
      <c r="N309" s="46"/>
    </row>
    <row r="310" spans="1:14" ht="21.75" customHeight="1" x14ac:dyDescent="0.3">
      <c r="A310" s="115" t="str">
        <f t="shared" si="4"/>
        <v/>
      </c>
      <c r="B310" s="101"/>
      <c r="C310" s="58"/>
      <c r="D310" s="58"/>
      <c r="E310" s="58"/>
      <c r="F310" s="54"/>
      <c r="G310" s="58"/>
      <c r="H310" s="101"/>
      <c r="I310" s="97"/>
      <c r="J310" s="54"/>
      <c r="K310" s="54"/>
      <c r="L310" s="54"/>
      <c r="M310" s="54"/>
      <c r="N310" s="58"/>
    </row>
    <row r="311" spans="1:14" ht="21.75" customHeight="1" x14ac:dyDescent="0.3">
      <c r="A311" s="114" t="str">
        <f t="shared" si="4"/>
        <v/>
      </c>
      <c r="B311" s="93"/>
      <c r="C311" s="46"/>
      <c r="D311" s="46"/>
      <c r="E311" s="46"/>
      <c r="F311" s="47"/>
      <c r="G311" s="46"/>
      <c r="H311" s="93"/>
      <c r="I311" s="89"/>
      <c r="J311" s="47"/>
      <c r="K311" s="47"/>
      <c r="L311" s="47"/>
      <c r="M311" s="47"/>
      <c r="N311" s="46"/>
    </row>
    <row r="312" spans="1:14" ht="21.75" customHeight="1" x14ac:dyDescent="0.3">
      <c r="A312" s="115" t="str">
        <f t="shared" si="4"/>
        <v/>
      </c>
      <c r="B312" s="101"/>
      <c r="C312" s="58"/>
      <c r="D312" s="58"/>
      <c r="E312" s="58"/>
      <c r="F312" s="54"/>
      <c r="G312" s="58"/>
      <c r="H312" s="101"/>
      <c r="I312" s="97"/>
      <c r="J312" s="54"/>
      <c r="K312" s="54"/>
      <c r="L312" s="54"/>
      <c r="M312" s="54"/>
      <c r="N312" s="58"/>
    </row>
    <row r="313" spans="1:14" ht="21.75" customHeight="1" x14ac:dyDescent="0.3">
      <c r="A313" s="114" t="str">
        <f t="shared" si="4"/>
        <v/>
      </c>
      <c r="B313" s="93"/>
      <c r="C313" s="46"/>
      <c r="D313" s="46"/>
      <c r="E313" s="46"/>
      <c r="F313" s="47"/>
      <c r="G313" s="46"/>
      <c r="H313" s="93"/>
      <c r="I313" s="89"/>
      <c r="J313" s="47"/>
      <c r="K313" s="47"/>
      <c r="L313" s="47"/>
      <c r="M313" s="47"/>
      <c r="N313" s="46"/>
    </row>
    <row r="314" spans="1:14" ht="21.75" customHeight="1" x14ac:dyDescent="0.3">
      <c r="A314" s="115" t="str">
        <f t="shared" si="4"/>
        <v/>
      </c>
      <c r="B314" s="101"/>
      <c r="C314" s="58"/>
      <c r="D314" s="58"/>
      <c r="E314" s="58"/>
      <c r="F314" s="54"/>
      <c r="G314" s="58"/>
      <c r="H314" s="101"/>
      <c r="I314" s="97"/>
      <c r="J314" s="54"/>
      <c r="K314" s="54"/>
      <c r="L314" s="54"/>
      <c r="M314" s="54"/>
      <c r="N314" s="58"/>
    </row>
    <row r="315" spans="1:14" ht="21.75" customHeight="1" x14ac:dyDescent="0.3">
      <c r="A315" s="114" t="str">
        <f t="shared" si="4"/>
        <v/>
      </c>
      <c r="B315" s="93"/>
      <c r="C315" s="46"/>
      <c r="D315" s="46"/>
      <c r="E315" s="46"/>
      <c r="F315" s="47"/>
      <c r="G315" s="46"/>
      <c r="H315" s="93"/>
      <c r="I315" s="89"/>
      <c r="J315" s="47"/>
      <c r="K315" s="47"/>
      <c r="L315" s="47"/>
      <c r="M315" s="47"/>
      <c r="N315" s="46"/>
    </row>
    <row r="316" spans="1:14" ht="21.75" customHeight="1" x14ac:dyDescent="0.3">
      <c r="A316" s="115" t="str">
        <f t="shared" si="4"/>
        <v/>
      </c>
      <c r="B316" s="101"/>
      <c r="C316" s="58"/>
      <c r="D316" s="58"/>
      <c r="E316" s="58"/>
      <c r="F316" s="54"/>
      <c r="G316" s="58"/>
      <c r="H316" s="101"/>
      <c r="I316" s="97"/>
      <c r="J316" s="54"/>
      <c r="K316" s="54"/>
      <c r="L316" s="54"/>
      <c r="M316" s="54"/>
      <c r="N316" s="58"/>
    </row>
    <row r="317" spans="1:14" ht="21.75" customHeight="1" x14ac:dyDescent="0.3">
      <c r="A317" s="114" t="str">
        <f t="shared" si="4"/>
        <v/>
      </c>
      <c r="B317" s="93"/>
      <c r="C317" s="46"/>
      <c r="D317" s="46"/>
      <c r="E317" s="46"/>
      <c r="F317" s="47"/>
      <c r="G317" s="46"/>
      <c r="H317" s="93"/>
      <c r="I317" s="89"/>
      <c r="J317" s="47"/>
      <c r="K317" s="47"/>
      <c r="L317" s="47"/>
      <c r="M317" s="47"/>
      <c r="N317" s="46"/>
    </row>
    <row r="318" spans="1:14" ht="21.75" customHeight="1" x14ac:dyDescent="0.3">
      <c r="A318" s="115" t="str">
        <f t="shared" si="4"/>
        <v/>
      </c>
      <c r="B318" s="101"/>
      <c r="C318" s="58"/>
      <c r="D318" s="58"/>
      <c r="E318" s="58"/>
      <c r="F318" s="54"/>
      <c r="G318" s="58"/>
      <c r="H318" s="101"/>
      <c r="I318" s="97"/>
      <c r="J318" s="54"/>
      <c r="K318" s="54"/>
      <c r="L318" s="54"/>
      <c r="M318" s="54"/>
      <c r="N318" s="58"/>
    </row>
    <row r="319" spans="1:14" ht="21.75" customHeight="1" x14ac:dyDescent="0.3">
      <c r="A319" s="114" t="str">
        <f t="shared" si="4"/>
        <v/>
      </c>
      <c r="B319" s="93"/>
      <c r="C319" s="46"/>
      <c r="D319" s="46"/>
      <c r="E319" s="46"/>
      <c r="F319" s="47"/>
      <c r="G319" s="46"/>
      <c r="H319" s="93"/>
      <c r="I319" s="89"/>
      <c r="J319" s="47"/>
      <c r="K319" s="47"/>
      <c r="L319" s="47"/>
      <c r="M319" s="47"/>
      <c r="N319" s="46"/>
    </row>
    <row r="320" spans="1:14" ht="21.75" customHeight="1" x14ac:dyDescent="0.3">
      <c r="A320" s="115" t="str">
        <f t="shared" si="4"/>
        <v/>
      </c>
      <c r="B320" s="101"/>
      <c r="C320" s="58"/>
      <c r="D320" s="58"/>
      <c r="E320" s="58"/>
      <c r="F320" s="54"/>
      <c r="G320" s="58"/>
      <c r="H320" s="101"/>
      <c r="I320" s="97"/>
      <c r="J320" s="54"/>
      <c r="K320" s="54"/>
      <c r="L320" s="54"/>
      <c r="M320" s="54"/>
      <c r="N320" s="58"/>
    </row>
    <row r="321" spans="1:14" ht="21.75" customHeight="1" x14ac:dyDescent="0.3">
      <c r="A321" s="114" t="str">
        <f t="shared" si="4"/>
        <v/>
      </c>
      <c r="B321" s="93"/>
      <c r="C321" s="46"/>
      <c r="D321" s="46"/>
      <c r="E321" s="46"/>
      <c r="F321" s="47"/>
      <c r="G321" s="46"/>
      <c r="H321" s="93"/>
      <c r="I321" s="89"/>
      <c r="J321" s="47"/>
      <c r="K321" s="47"/>
      <c r="L321" s="47"/>
      <c r="M321" s="47"/>
      <c r="N321" s="46"/>
    </row>
    <row r="322" spans="1:14" ht="21.75" customHeight="1" x14ac:dyDescent="0.3">
      <c r="A322" s="115" t="str">
        <f t="shared" si="4"/>
        <v/>
      </c>
      <c r="B322" s="101"/>
      <c r="C322" s="58"/>
      <c r="D322" s="58"/>
      <c r="E322" s="58"/>
      <c r="F322" s="54"/>
      <c r="G322" s="58"/>
      <c r="H322" s="101"/>
      <c r="I322" s="97"/>
      <c r="J322" s="54"/>
      <c r="K322" s="54"/>
      <c r="L322" s="54"/>
      <c r="M322" s="54"/>
      <c r="N322" s="58"/>
    </row>
    <row r="323" spans="1:14" ht="21.75" customHeight="1" x14ac:dyDescent="0.3">
      <c r="A323" s="114" t="str">
        <f t="shared" ref="A323:A386" si="5">IF(B323="","",ROW()-2)</f>
        <v/>
      </c>
      <c r="B323" s="93"/>
      <c r="C323" s="46"/>
      <c r="D323" s="46"/>
      <c r="E323" s="46"/>
      <c r="F323" s="47"/>
      <c r="G323" s="46"/>
      <c r="H323" s="93"/>
      <c r="I323" s="89"/>
      <c r="J323" s="47"/>
      <c r="K323" s="47"/>
      <c r="L323" s="47"/>
      <c r="M323" s="47"/>
      <c r="N323" s="46"/>
    </row>
    <row r="324" spans="1:14" ht="21.75" customHeight="1" x14ac:dyDescent="0.3">
      <c r="A324" s="115" t="str">
        <f t="shared" si="5"/>
        <v/>
      </c>
      <c r="B324" s="101"/>
      <c r="C324" s="58"/>
      <c r="D324" s="58"/>
      <c r="E324" s="58"/>
      <c r="F324" s="54"/>
      <c r="G324" s="58"/>
      <c r="H324" s="101"/>
      <c r="I324" s="97"/>
      <c r="J324" s="54"/>
      <c r="K324" s="54"/>
      <c r="L324" s="54"/>
      <c r="M324" s="54"/>
      <c r="N324" s="58"/>
    </row>
    <row r="325" spans="1:14" ht="21.75" customHeight="1" x14ac:dyDescent="0.3">
      <c r="A325" s="114" t="str">
        <f t="shared" si="5"/>
        <v/>
      </c>
      <c r="B325" s="93"/>
      <c r="C325" s="46"/>
      <c r="D325" s="46"/>
      <c r="E325" s="46"/>
      <c r="F325" s="47"/>
      <c r="G325" s="46"/>
      <c r="H325" s="93"/>
      <c r="I325" s="89"/>
      <c r="J325" s="47"/>
      <c r="K325" s="47"/>
      <c r="L325" s="47"/>
      <c r="M325" s="47"/>
      <c r="N325" s="46"/>
    </row>
    <row r="326" spans="1:14" ht="21.75" customHeight="1" x14ac:dyDescent="0.3">
      <c r="A326" s="115" t="str">
        <f t="shared" si="5"/>
        <v/>
      </c>
      <c r="B326" s="101"/>
      <c r="C326" s="58"/>
      <c r="D326" s="58"/>
      <c r="E326" s="58"/>
      <c r="F326" s="54"/>
      <c r="G326" s="58"/>
      <c r="H326" s="101"/>
      <c r="I326" s="97"/>
      <c r="J326" s="54"/>
      <c r="K326" s="54"/>
      <c r="L326" s="54"/>
      <c r="M326" s="54"/>
      <c r="N326" s="58"/>
    </row>
    <row r="327" spans="1:14" ht="21.75" customHeight="1" x14ac:dyDescent="0.3">
      <c r="A327" s="114" t="str">
        <f t="shared" si="5"/>
        <v/>
      </c>
      <c r="B327" s="93"/>
      <c r="C327" s="46"/>
      <c r="D327" s="46"/>
      <c r="E327" s="46"/>
      <c r="F327" s="47"/>
      <c r="G327" s="46"/>
      <c r="H327" s="93"/>
      <c r="I327" s="89"/>
      <c r="J327" s="47"/>
      <c r="K327" s="47"/>
      <c r="L327" s="47"/>
      <c r="M327" s="47"/>
      <c r="N327" s="46"/>
    </row>
    <row r="328" spans="1:14" ht="21.75" customHeight="1" x14ac:dyDescent="0.3">
      <c r="A328" s="115" t="str">
        <f t="shared" si="5"/>
        <v/>
      </c>
      <c r="B328" s="101"/>
      <c r="C328" s="58"/>
      <c r="D328" s="58"/>
      <c r="E328" s="58"/>
      <c r="F328" s="54"/>
      <c r="G328" s="58"/>
      <c r="H328" s="101"/>
      <c r="I328" s="97"/>
      <c r="J328" s="54"/>
      <c r="K328" s="54"/>
      <c r="L328" s="54"/>
      <c r="M328" s="54"/>
      <c r="N328" s="58"/>
    </row>
    <row r="329" spans="1:14" ht="21.75" customHeight="1" x14ac:dyDescent="0.3">
      <c r="A329" s="114" t="str">
        <f t="shared" si="5"/>
        <v/>
      </c>
      <c r="B329" s="93"/>
      <c r="C329" s="46"/>
      <c r="D329" s="46"/>
      <c r="E329" s="46"/>
      <c r="F329" s="47"/>
      <c r="G329" s="46"/>
      <c r="H329" s="93"/>
      <c r="I329" s="89"/>
      <c r="J329" s="47"/>
      <c r="K329" s="47"/>
      <c r="L329" s="47"/>
      <c r="M329" s="47"/>
      <c r="N329" s="46"/>
    </row>
    <row r="330" spans="1:14" ht="21.75" customHeight="1" x14ac:dyDescent="0.3">
      <c r="A330" s="115" t="str">
        <f t="shared" si="5"/>
        <v/>
      </c>
      <c r="B330" s="101"/>
      <c r="C330" s="58"/>
      <c r="D330" s="58"/>
      <c r="E330" s="58"/>
      <c r="F330" s="54"/>
      <c r="G330" s="58"/>
      <c r="H330" s="101"/>
      <c r="I330" s="97"/>
      <c r="J330" s="54"/>
      <c r="K330" s="54"/>
      <c r="L330" s="54"/>
      <c r="M330" s="54"/>
      <c r="N330" s="58"/>
    </row>
    <row r="331" spans="1:14" ht="21.75" customHeight="1" x14ac:dyDescent="0.3">
      <c r="A331" s="114" t="str">
        <f t="shared" si="5"/>
        <v/>
      </c>
      <c r="B331" s="93"/>
      <c r="C331" s="46"/>
      <c r="D331" s="46"/>
      <c r="E331" s="46"/>
      <c r="F331" s="47"/>
      <c r="G331" s="46"/>
      <c r="H331" s="93"/>
      <c r="I331" s="89"/>
      <c r="J331" s="47"/>
      <c r="K331" s="47"/>
      <c r="L331" s="47"/>
      <c r="M331" s="47"/>
      <c r="N331" s="46"/>
    </row>
    <row r="332" spans="1:14" ht="21.75" customHeight="1" x14ac:dyDescent="0.3">
      <c r="A332" s="115" t="str">
        <f t="shared" si="5"/>
        <v/>
      </c>
      <c r="B332" s="101"/>
      <c r="C332" s="58"/>
      <c r="D332" s="58"/>
      <c r="E332" s="58"/>
      <c r="F332" s="54"/>
      <c r="G332" s="58"/>
      <c r="H332" s="101"/>
      <c r="I332" s="97"/>
      <c r="J332" s="54"/>
      <c r="K332" s="54"/>
      <c r="L332" s="54"/>
      <c r="M332" s="54"/>
      <c r="N332" s="58"/>
    </row>
    <row r="333" spans="1:14" ht="21.75" customHeight="1" x14ac:dyDescent="0.3">
      <c r="A333" s="114" t="str">
        <f t="shared" si="5"/>
        <v/>
      </c>
      <c r="B333" s="93"/>
      <c r="C333" s="46"/>
      <c r="D333" s="46"/>
      <c r="E333" s="46"/>
      <c r="F333" s="47"/>
      <c r="G333" s="46"/>
      <c r="H333" s="93"/>
      <c r="I333" s="89"/>
      <c r="J333" s="47"/>
      <c r="K333" s="47"/>
      <c r="L333" s="47"/>
      <c r="M333" s="47"/>
      <c r="N333" s="46"/>
    </row>
    <row r="334" spans="1:14" ht="21.75" customHeight="1" x14ac:dyDescent="0.3">
      <c r="A334" s="115" t="str">
        <f t="shared" si="5"/>
        <v/>
      </c>
      <c r="B334" s="101"/>
      <c r="C334" s="58"/>
      <c r="D334" s="58"/>
      <c r="E334" s="58"/>
      <c r="F334" s="54"/>
      <c r="G334" s="58"/>
      <c r="H334" s="101"/>
      <c r="I334" s="97"/>
      <c r="J334" s="54"/>
      <c r="K334" s="54"/>
      <c r="L334" s="54"/>
      <c r="M334" s="54"/>
      <c r="N334" s="58"/>
    </row>
    <row r="335" spans="1:14" ht="21.75" customHeight="1" x14ac:dyDescent="0.3">
      <c r="A335" s="114" t="str">
        <f t="shared" si="5"/>
        <v/>
      </c>
      <c r="B335" s="93"/>
      <c r="C335" s="46"/>
      <c r="D335" s="46"/>
      <c r="E335" s="46"/>
      <c r="F335" s="47"/>
      <c r="G335" s="46"/>
      <c r="H335" s="93"/>
      <c r="I335" s="89"/>
      <c r="J335" s="47"/>
      <c r="K335" s="47"/>
      <c r="L335" s="47"/>
      <c r="M335" s="47"/>
      <c r="N335" s="46"/>
    </row>
    <row r="336" spans="1:14" ht="21.75" customHeight="1" x14ac:dyDescent="0.3">
      <c r="A336" s="115" t="str">
        <f t="shared" si="5"/>
        <v/>
      </c>
      <c r="B336" s="101"/>
      <c r="C336" s="58"/>
      <c r="D336" s="58"/>
      <c r="E336" s="58"/>
      <c r="F336" s="54"/>
      <c r="G336" s="58"/>
      <c r="H336" s="101"/>
      <c r="I336" s="97"/>
      <c r="J336" s="54"/>
      <c r="K336" s="54"/>
      <c r="L336" s="54"/>
      <c r="M336" s="54"/>
      <c r="N336" s="58"/>
    </row>
    <row r="337" spans="1:14" ht="21.75" customHeight="1" x14ac:dyDescent="0.3">
      <c r="A337" s="114" t="str">
        <f t="shared" si="5"/>
        <v/>
      </c>
      <c r="B337" s="93"/>
      <c r="C337" s="46"/>
      <c r="D337" s="46"/>
      <c r="E337" s="46"/>
      <c r="F337" s="47"/>
      <c r="G337" s="46"/>
      <c r="H337" s="93"/>
      <c r="I337" s="89"/>
      <c r="J337" s="47"/>
      <c r="K337" s="47"/>
      <c r="L337" s="47"/>
      <c r="M337" s="47"/>
      <c r="N337" s="46"/>
    </row>
    <row r="338" spans="1:14" ht="21.75" customHeight="1" x14ac:dyDescent="0.3">
      <c r="A338" s="115" t="str">
        <f t="shared" si="5"/>
        <v/>
      </c>
      <c r="B338" s="101"/>
      <c r="C338" s="58"/>
      <c r="D338" s="58"/>
      <c r="E338" s="58"/>
      <c r="F338" s="54"/>
      <c r="G338" s="58"/>
      <c r="H338" s="101"/>
      <c r="I338" s="97"/>
      <c r="J338" s="54"/>
      <c r="K338" s="54"/>
      <c r="L338" s="54"/>
      <c r="M338" s="54"/>
      <c r="N338" s="58"/>
    </row>
    <row r="339" spans="1:14" ht="21.75" customHeight="1" x14ac:dyDescent="0.3">
      <c r="A339" s="114" t="str">
        <f t="shared" si="5"/>
        <v/>
      </c>
      <c r="B339" s="93"/>
      <c r="C339" s="46"/>
      <c r="D339" s="46"/>
      <c r="E339" s="46"/>
      <c r="F339" s="47"/>
      <c r="G339" s="46"/>
      <c r="H339" s="93"/>
      <c r="I339" s="89"/>
      <c r="J339" s="47"/>
      <c r="K339" s="47"/>
      <c r="L339" s="47"/>
      <c r="M339" s="47"/>
      <c r="N339" s="46"/>
    </row>
    <row r="340" spans="1:14" ht="21.75" customHeight="1" x14ac:dyDescent="0.3">
      <c r="A340" s="115" t="str">
        <f t="shared" si="5"/>
        <v/>
      </c>
      <c r="B340" s="101"/>
      <c r="C340" s="58"/>
      <c r="D340" s="58"/>
      <c r="E340" s="58"/>
      <c r="F340" s="54"/>
      <c r="G340" s="58"/>
      <c r="H340" s="101"/>
      <c r="I340" s="97"/>
      <c r="J340" s="54"/>
      <c r="K340" s="54"/>
      <c r="L340" s="54"/>
      <c r="M340" s="54"/>
      <c r="N340" s="58"/>
    </row>
    <row r="341" spans="1:14" ht="21.75" customHeight="1" x14ac:dyDescent="0.3">
      <c r="A341" s="114" t="str">
        <f t="shared" si="5"/>
        <v/>
      </c>
      <c r="B341" s="93"/>
      <c r="C341" s="46"/>
      <c r="D341" s="46"/>
      <c r="E341" s="46"/>
      <c r="F341" s="47"/>
      <c r="G341" s="46"/>
      <c r="H341" s="93"/>
      <c r="I341" s="89"/>
      <c r="J341" s="47"/>
      <c r="K341" s="47"/>
      <c r="L341" s="47"/>
      <c r="M341" s="47"/>
      <c r="N341" s="46"/>
    </row>
    <row r="342" spans="1:14" ht="21.75" customHeight="1" x14ac:dyDescent="0.3">
      <c r="A342" s="115" t="str">
        <f t="shared" si="5"/>
        <v/>
      </c>
      <c r="B342" s="101"/>
      <c r="C342" s="58"/>
      <c r="D342" s="58"/>
      <c r="E342" s="58"/>
      <c r="F342" s="54"/>
      <c r="G342" s="58"/>
      <c r="H342" s="101"/>
      <c r="I342" s="97"/>
      <c r="J342" s="54"/>
      <c r="K342" s="54"/>
      <c r="L342" s="54"/>
      <c r="M342" s="54"/>
      <c r="N342" s="58"/>
    </row>
    <row r="343" spans="1:14" ht="21.75" customHeight="1" x14ac:dyDescent="0.3">
      <c r="A343" s="114" t="str">
        <f t="shared" si="5"/>
        <v/>
      </c>
      <c r="B343" s="93"/>
      <c r="C343" s="46"/>
      <c r="D343" s="46"/>
      <c r="E343" s="46"/>
      <c r="F343" s="47"/>
      <c r="G343" s="46"/>
      <c r="H343" s="93"/>
      <c r="I343" s="89"/>
      <c r="J343" s="47"/>
      <c r="K343" s="47"/>
      <c r="L343" s="47"/>
      <c r="M343" s="47"/>
      <c r="N343" s="46"/>
    </row>
    <row r="344" spans="1:14" ht="21.75" customHeight="1" x14ac:dyDescent="0.3">
      <c r="A344" s="115" t="str">
        <f t="shared" si="5"/>
        <v/>
      </c>
      <c r="B344" s="101"/>
      <c r="C344" s="58"/>
      <c r="D344" s="58"/>
      <c r="E344" s="58"/>
      <c r="F344" s="54"/>
      <c r="G344" s="58"/>
      <c r="H344" s="101"/>
      <c r="I344" s="97"/>
      <c r="J344" s="54"/>
      <c r="K344" s="54"/>
      <c r="L344" s="54"/>
      <c r="M344" s="54"/>
      <c r="N344" s="58"/>
    </row>
    <row r="345" spans="1:14" ht="21.75" customHeight="1" x14ac:dyDescent="0.3">
      <c r="A345" s="114" t="str">
        <f t="shared" si="5"/>
        <v/>
      </c>
      <c r="B345" s="93"/>
      <c r="C345" s="46"/>
      <c r="D345" s="46"/>
      <c r="E345" s="46"/>
      <c r="F345" s="47"/>
      <c r="G345" s="46"/>
      <c r="H345" s="93"/>
      <c r="I345" s="89"/>
      <c r="J345" s="47"/>
      <c r="K345" s="47"/>
      <c r="L345" s="47"/>
      <c r="M345" s="47"/>
      <c r="N345" s="46"/>
    </row>
    <row r="346" spans="1:14" ht="21.75" customHeight="1" x14ac:dyDescent="0.3">
      <c r="A346" s="115" t="str">
        <f t="shared" si="5"/>
        <v/>
      </c>
      <c r="B346" s="101"/>
      <c r="C346" s="58"/>
      <c r="D346" s="58"/>
      <c r="E346" s="58"/>
      <c r="F346" s="54"/>
      <c r="G346" s="58"/>
      <c r="H346" s="101"/>
      <c r="I346" s="97"/>
      <c r="J346" s="54"/>
      <c r="K346" s="54"/>
      <c r="L346" s="54"/>
      <c r="M346" s="54"/>
      <c r="N346" s="58"/>
    </row>
    <row r="347" spans="1:14" ht="21.75" customHeight="1" x14ac:dyDescent="0.3">
      <c r="A347" s="114" t="str">
        <f t="shared" si="5"/>
        <v/>
      </c>
      <c r="B347" s="93"/>
      <c r="C347" s="46"/>
      <c r="D347" s="46"/>
      <c r="E347" s="46"/>
      <c r="F347" s="47"/>
      <c r="G347" s="46"/>
      <c r="H347" s="93"/>
      <c r="I347" s="89"/>
      <c r="J347" s="47"/>
      <c r="K347" s="47"/>
      <c r="L347" s="47"/>
      <c r="M347" s="47"/>
      <c r="N347" s="46"/>
    </row>
    <row r="348" spans="1:14" ht="21.75" customHeight="1" x14ac:dyDescent="0.3">
      <c r="A348" s="115" t="str">
        <f t="shared" si="5"/>
        <v/>
      </c>
      <c r="B348" s="101"/>
      <c r="C348" s="58"/>
      <c r="D348" s="58"/>
      <c r="E348" s="58"/>
      <c r="F348" s="54"/>
      <c r="G348" s="58"/>
      <c r="H348" s="101"/>
      <c r="I348" s="97"/>
      <c r="J348" s="54"/>
      <c r="K348" s="54"/>
      <c r="L348" s="54"/>
      <c r="M348" s="54"/>
      <c r="N348" s="58"/>
    </row>
    <row r="349" spans="1:14" ht="21.75" customHeight="1" x14ac:dyDescent="0.3">
      <c r="A349" s="114" t="str">
        <f t="shared" si="5"/>
        <v/>
      </c>
      <c r="B349" s="93"/>
      <c r="C349" s="46"/>
      <c r="D349" s="46"/>
      <c r="E349" s="46"/>
      <c r="F349" s="47"/>
      <c r="G349" s="46"/>
      <c r="H349" s="93"/>
      <c r="I349" s="89"/>
      <c r="J349" s="47"/>
      <c r="K349" s="47"/>
      <c r="L349" s="47"/>
      <c r="M349" s="47"/>
      <c r="N349" s="46"/>
    </row>
    <row r="350" spans="1:14" ht="21.75" customHeight="1" x14ac:dyDescent="0.3">
      <c r="A350" s="115" t="str">
        <f t="shared" si="5"/>
        <v/>
      </c>
      <c r="B350" s="101"/>
      <c r="C350" s="58"/>
      <c r="D350" s="58"/>
      <c r="E350" s="58"/>
      <c r="F350" s="54"/>
      <c r="G350" s="58"/>
      <c r="H350" s="101"/>
      <c r="I350" s="97"/>
      <c r="J350" s="54"/>
      <c r="K350" s="54"/>
      <c r="L350" s="54"/>
      <c r="M350" s="54"/>
      <c r="N350" s="58"/>
    </row>
    <row r="351" spans="1:14" ht="21.75" customHeight="1" x14ac:dyDescent="0.3">
      <c r="A351" s="114" t="str">
        <f t="shared" si="5"/>
        <v/>
      </c>
      <c r="B351" s="93"/>
      <c r="C351" s="46"/>
      <c r="D351" s="46"/>
      <c r="E351" s="46"/>
      <c r="F351" s="47"/>
      <c r="G351" s="46"/>
      <c r="H351" s="93"/>
      <c r="I351" s="89"/>
      <c r="J351" s="47"/>
      <c r="K351" s="47"/>
      <c r="L351" s="47"/>
      <c r="M351" s="47"/>
      <c r="N351" s="46"/>
    </row>
    <row r="352" spans="1:14" ht="21.75" customHeight="1" x14ac:dyDescent="0.3">
      <c r="A352" s="115" t="str">
        <f t="shared" si="5"/>
        <v/>
      </c>
      <c r="B352" s="101"/>
      <c r="C352" s="58"/>
      <c r="D352" s="58"/>
      <c r="E352" s="58"/>
      <c r="F352" s="54"/>
      <c r="G352" s="58"/>
      <c r="H352" s="101"/>
      <c r="I352" s="97"/>
      <c r="J352" s="54"/>
      <c r="K352" s="54"/>
      <c r="L352" s="54"/>
      <c r="M352" s="54"/>
      <c r="N352" s="58"/>
    </row>
    <row r="353" spans="1:14" ht="21.75" customHeight="1" x14ac:dyDescent="0.3">
      <c r="A353" s="114" t="str">
        <f t="shared" si="5"/>
        <v/>
      </c>
      <c r="B353" s="93"/>
      <c r="C353" s="46"/>
      <c r="D353" s="46"/>
      <c r="E353" s="46"/>
      <c r="F353" s="47"/>
      <c r="G353" s="46"/>
      <c r="H353" s="93"/>
      <c r="I353" s="89"/>
      <c r="J353" s="47"/>
      <c r="K353" s="47"/>
      <c r="L353" s="47"/>
      <c r="M353" s="47"/>
      <c r="N353" s="46"/>
    </row>
    <row r="354" spans="1:14" ht="21.75" customHeight="1" x14ac:dyDescent="0.3">
      <c r="A354" s="115" t="str">
        <f t="shared" si="5"/>
        <v/>
      </c>
      <c r="B354" s="101"/>
      <c r="C354" s="58"/>
      <c r="D354" s="58"/>
      <c r="E354" s="58"/>
      <c r="F354" s="54"/>
      <c r="G354" s="58"/>
      <c r="H354" s="101"/>
      <c r="I354" s="97"/>
      <c r="J354" s="54"/>
      <c r="K354" s="54"/>
      <c r="L354" s="54"/>
      <c r="M354" s="54"/>
      <c r="N354" s="58"/>
    </row>
    <row r="355" spans="1:14" ht="21.75" customHeight="1" x14ac:dyDescent="0.3">
      <c r="A355" s="114" t="str">
        <f t="shared" si="5"/>
        <v/>
      </c>
      <c r="B355" s="93"/>
      <c r="C355" s="46"/>
      <c r="D355" s="46"/>
      <c r="E355" s="46"/>
      <c r="F355" s="47"/>
      <c r="G355" s="46"/>
      <c r="H355" s="93"/>
      <c r="I355" s="89"/>
      <c r="J355" s="47"/>
      <c r="K355" s="47"/>
      <c r="L355" s="47"/>
      <c r="M355" s="47"/>
      <c r="N355" s="46"/>
    </row>
    <row r="356" spans="1:14" ht="21.75" customHeight="1" x14ac:dyDescent="0.3">
      <c r="A356" s="115" t="str">
        <f t="shared" si="5"/>
        <v/>
      </c>
      <c r="B356" s="101"/>
      <c r="C356" s="58"/>
      <c r="D356" s="58"/>
      <c r="E356" s="58"/>
      <c r="F356" s="54"/>
      <c r="G356" s="58"/>
      <c r="H356" s="101"/>
      <c r="I356" s="97"/>
      <c r="J356" s="54"/>
      <c r="K356" s="54"/>
      <c r="L356" s="54"/>
      <c r="M356" s="54"/>
      <c r="N356" s="58"/>
    </row>
    <row r="357" spans="1:14" ht="21.75" customHeight="1" x14ac:dyDescent="0.3">
      <c r="A357" s="114" t="str">
        <f t="shared" si="5"/>
        <v/>
      </c>
      <c r="B357" s="93"/>
      <c r="C357" s="46"/>
      <c r="D357" s="46"/>
      <c r="E357" s="46"/>
      <c r="F357" s="47"/>
      <c r="G357" s="46"/>
      <c r="H357" s="93"/>
      <c r="I357" s="89"/>
      <c r="J357" s="47"/>
      <c r="K357" s="47"/>
      <c r="L357" s="47"/>
      <c r="M357" s="47"/>
      <c r="N357" s="46"/>
    </row>
    <row r="358" spans="1:14" ht="21.75" customHeight="1" x14ac:dyDescent="0.3">
      <c r="A358" s="115" t="str">
        <f t="shared" si="5"/>
        <v/>
      </c>
      <c r="B358" s="101"/>
      <c r="C358" s="58"/>
      <c r="D358" s="58"/>
      <c r="E358" s="58"/>
      <c r="F358" s="54"/>
      <c r="G358" s="58"/>
      <c r="H358" s="101"/>
      <c r="I358" s="97"/>
      <c r="J358" s="54"/>
      <c r="K358" s="54"/>
      <c r="L358" s="54"/>
      <c r="M358" s="54"/>
      <c r="N358" s="58"/>
    </row>
    <row r="359" spans="1:14" ht="21.75" customHeight="1" x14ac:dyDescent="0.3">
      <c r="A359" s="114" t="str">
        <f t="shared" si="5"/>
        <v/>
      </c>
      <c r="B359" s="93"/>
      <c r="C359" s="46"/>
      <c r="D359" s="46"/>
      <c r="E359" s="46"/>
      <c r="F359" s="47"/>
      <c r="G359" s="46"/>
      <c r="H359" s="93"/>
      <c r="I359" s="89"/>
      <c r="J359" s="47"/>
      <c r="K359" s="47"/>
      <c r="L359" s="47"/>
      <c r="M359" s="47"/>
      <c r="N359" s="46"/>
    </row>
    <row r="360" spans="1:14" ht="21.75" customHeight="1" x14ac:dyDescent="0.3">
      <c r="A360" s="115" t="str">
        <f t="shared" si="5"/>
        <v/>
      </c>
      <c r="B360" s="101"/>
      <c r="C360" s="58"/>
      <c r="D360" s="58"/>
      <c r="E360" s="58"/>
      <c r="F360" s="54"/>
      <c r="G360" s="58"/>
      <c r="H360" s="101"/>
      <c r="I360" s="97"/>
      <c r="J360" s="54"/>
      <c r="K360" s="54"/>
      <c r="L360" s="54"/>
      <c r="M360" s="54"/>
      <c r="N360" s="58"/>
    </row>
    <row r="361" spans="1:14" ht="21.75" customHeight="1" x14ac:dyDescent="0.3">
      <c r="A361" s="114" t="str">
        <f t="shared" si="5"/>
        <v/>
      </c>
      <c r="B361" s="93"/>
      <c r="C361" s="46"/>
      <c r="D361" s="46"/>
      <c r="E361" s="46"/>
      <c r="F361" s="47"/>
      <c r="G361" s="46"/>
      <c r="H361" s="93"/>
      <c r="I361" s="89"/>
      <c r="J361" s="47"/>
      <c r="K361" s="47"/>
      <c r="L361" s="47"/>
      <c r="M361" s="47"/>
      <c r="N361" s="46"/>
    </row>
    <row r="362" spans="1:14" ht="21.75" customHeight="1" x14ac:dyDescent="0.3">
      <c r="A362" s="115" t="str">
        <f t="shared" si="5"/>
        <v/>
      </c>
      <c r="B362" s="101"/>
      <c r="C362" s="58"/>
      <c r="D362" s="58"/>
      <c r="E362" s="58"/>
      <c r="F362" s="54"/>
      <c r="G362" s="58"/>
      <c r="H362" s="101"/>
      <c r="I362" s="97"/>
      <c r="J362" s="54"/>
      <c r="K362" s="54"/>
      <c r="L362" s="54"/>
      <c r="M362" s="54"/>
      <c r="N362" s="58"/>
    </row>
    <row r="363" spans="1:14" ht="21.75" customHeight="1" x14ac:dyDescent="0.3">
      <c r="A363" s="114" t="str">
        <f t="shared" si="5"/>
        <v/>
      </c>
      <c r="B363" s="93"/>
      <c r="C363" s="46"/>
      <c r="D363" s="46"/>
      <c r="E363" s="46"/>
      <c r="F363" s="47"/>
      <c r="G363" s="46"/>
      <c r="H363" s="93"/>
      <c r="I363" s="89"/>
      <c r="J363" s="47"/>
      <c r="K363" s="47"/>
      <c r="L363" s="47"/>
      <c r="M363" s="47"/>
      <c r="N363" s="46"/>
    </row>
    <row r="364" spans="1:14" ht="21.75" customHeight="1" x14ac:dyDescent="0.3">
      <c r="A364" s="115" t="str">
        <f t="shared" si="5"/>
        <v/>
      </c>
      <c r="B364" s="101"/>
      <c r="C364" s="58"/>
      <c r="D364" s="58"/>
      <c r="E364" s="58"/>
      <c r="F364" s="54"/>
      <c r="G364" s="58"/>
      <c r="H364" s="101"/>
      <c r="I364" s="97"/>
      <c r="J364" s="54"/>
      <c r="K364" s="54"/>
      <c r="L364" s="54"/>
      <c r="M364" s="54"/>
      <c r="N364" s="58"/>
    </row>
    <row r="365" spans="1:14" ht="21.75" customHeight="1" x14ac:dyDescent="0.3">
      <c r="A365" s="114" t="str">
        <f t="shared" si="5"/>
        <v/>
      </c>
      <c r="B365" s="93"/>
      <c r="C365" s="46"/>
      <c r="D365" s="46"/>
      <c r="E365" s="46"/>
      <c r="F365" s="47"/>
      <c r="G365" s="46"/>
      <c r="H365" s="93"/>
      <c r="I365" s="89"/>
      <c r="J365" s="47"/>
      <c r="K365" s="47"/>
      <c r="L365" s="47"/>
      <c r="M365" s="47"/>
      <c r="N365" s="46"/>
    </row>
    <row r="366" spans="1:14" ht="21.75" customHeight="1" x14ac:dyDescent="0.3">
      <c r="A366" s="115" t="str">
        <f t="shared" si="5"/>
        <v/>
      </c>
      <c r="B366" s="101"/>
      <c r="C366" s="58"/>
      <c r="D366" s="58"/>
      <c r="E366" s="58"/>
      <c r="F366" s="54"/>
      <c r="G366" s="58"/>
      <c r="H366" s="101"/>
      <c r="I366" s="97"/>
      <c r="J366" s="54"/>
      <c r="K366" s="54"/>
      <c r="L366" s="54"/>
      <c r="M366" s="54"/>
      <c r="N366" s="58"/>
    </row>
    <row r="367" spans="1:14" ht="21.75" customHeight="1" x14ac:dyDescent="0.3">
      <c r="A367" s="114" t="str">
        <f t="shared" si="5"/>
        <v/>
      </c>
      <c r="B367" s="93"/>
      <c r="C367" s="46"/>
      <c r="D367" s="46"/>
      <c r="E367" s="46"/>
      <c r="F367" s="47"/>
      <c r="G367" s="46"/>
      <c r="H367" s="93"/>
      <c r="I367" s="89"/>
      <c r="J367" s="47"/>
      <c r="K367" s="47"/>
      <c r="L367" s="47"/>
      <c r="M367" s="47"/>
      <c r="N367" s="46"/>
    </row>
    <row r="368" spans="1:14" ht="21.75" customHeight="1" x14ac:dyDescent="0.3">
      <c r="A368" s="115" t="str">
        <f t="shared" si="5"/>
        <v/>
      </c>
      <c r="B368" s="101"/>
      <c r="C368" s="58"/>
      <c r="D368" s="58"/>
      <c r="E368" s="58"/>
      <c r="F368" s="54"/>
      <c r="G368" s="58"/>
      <c r="H368" s="101"/>
      <c r="I368" s="97"/>
      <c r="J368" s="54"/>
      <c r="K368" s="54"/>
      <c r="L368" s="54"/>
      <c r="M368" s="54"/>
      <c r="N368" s="58"/>
    </row>
    <row r="369" spans="1:14" ht="21.75" customHeight="1" x14ac:dyDescent="0.3">
      <c r="A369" s="114" t="str">
        <f t="shared" si="5"/>
        <v/>
      </c>
      <c r="B369" s="93"/>
      <c r="C369" s="46"/>
      <c r="D369" s="46"/>
      <c r="E369" s="46"/>
      <c r="F369" s="47"/>
      <c r="G369" s="46"/>
      <c r="H369" s="93"/>
      <c r="I369" s="89"/>
      <c r="J369" s="47"/>
      <c r="K369" s="47"/>
      <c r="L369" s="47"/>
      <c r="M369" s="47"/>
      <c r="N369" s="46"/>
    </row>
    <row r="370" spans="1:14" ht="21.75" customHeight="1" x14ac:dyDescent="0.3">
      <c r="A370" s="115" t="str">
        <f t="shared" si="5"/>
        <v/>
      </c>
      <c r="B370" s="101"/>
      <c r="C370" s="58"/>
      <c r="D370" s="58"/>
      <c r="E370" s="58"/>
      <c r="F370" s="54"/>
      <c r="G370" s="58"/>
      <c r="H370" s="101"/>
      <c r="I370" s="97"/>
      <c r="J370" s="54"/>
      <c r="K370" s="54"/>
      <c r="L370" s="54"/>
      <c r="M370" s="54"/>
      <c r="N370" s="58"/>
    </row>
    <row r="371" spans="1:14" ht="21.75" customHeight="1" x14ac:dyDescent="0.3">
      <c r="A371" s="114" t="str">
        <f t="shared" si="5"/>
        <v/>
      </c>
      <c r="B371" s="93"/>
      <c r="C371" s="46"/>
      <c r="D371" s="46"/>
      <c r="E371" s="46"/>
      <c r="F371" s="47"/>
      <c r="G371" s="46"/>
      <c r="H371" s="93"/>
      <c r="I371" s="89"/>
      <c r="J371" s="47"/>
      <c r="K371" s="47"/>
      <c r="L371" s="47"/>
      <c r="M371" s="47"/>
      <c r="N371" s="46"/>
    </row>
    <row r="372" spans="1:14" ht="21.75" customHeight="1" x14ac:dyDescent="0.3">
      <c r="A372" s="115" t="str">
        <f t="shared" si="5"/>
        <v/>
      </c>
      <c r="B372" s="101"/>
      <c r="C372" s="58"/>
      <c r="D372" s="58"/>
      <c r="E372" s="58"/>
      <c r="F372" s="54"/>
      <c r="G372" s="58"/>
      <c r="H372" s="101"/>
      <c r="I372" s="97"/>
      <c r="J372" s="54"/>
      <c r="K372" s="54"/>
      <c r="L372" s="54"/>
      <c r="M372" s="54"/>
      <c r="N372" s="58"/>
    </row>
    <row r="373" spans="1:14" ht="21.75" customHeight="1" x14ac:dyDescent="0.3">
      <c r="A373" s="114" t="str">
        <f t="shared" si="5"/>
        <v/>
      </c>
      <c r="B373" s="93"/>
      <c r="C373" s="46"/>
      <c r="D373" s="46"/>
      <c r="E373" s="46"/>
      <c r="F373" s="47"/>
      <c r="G373" s="46"/>
      <c r="H373" s="93"/>
      <c r="I373" s="89"/>
      <c r="J373" s="47"/>
      <c r="K373" s="47"/>
      <c r="L373" s="47"/>
      <c r="M373" s="47"/>
      <c r="N373" s="46"/>
    </row>
    <row r="374" spans="1:14" ht="21.75" customHeight="1" x14ac:dyDescent="0.3">
      <c r="A374" s="115" t="str">
        <f t="shared" si="5"/>
        <v/>
      </c>
      <c r="B374" s="101"/>
      <c r="C374" s="58"/>
      <c r="D374" s="58"/>
      <c r="E374" s="58"/>
      <c r="F374" s="54"/>
      <c r="G374" s="58"/>
      <c r="H374" s="101"/>
      <c r="I374" s="97"/>
      <c r="J374" s="54"/>
      <c r="K374" s="54"/>
      <c r="L374" s="54"/>
      <c r="M374" s="54"/>
      <c r="N374" s="58"/>
    </row>
    <row r="375" spans="1:14" ht="21.75" customHeight="1" x14ac:dyDescent="0.3">
      <c r="A375" s="114" t="str">
        <f t="shared" si="5"/>
        <v/>
      </c>
      <c r="B375" s="93"/>
      <c r="C375" s="46"/>
      <c r="D375" s="46"/>
      <c r="E375" s="46"/>
      <c r="F375" s="47"/>
      <c r="G375" s="46"/>
      <c r="H375" s="93"/>
      <c r="I375" s="89"/>
      <c r="J375" s="47"/>
      <c r="K375" s="47"/>
      <c r="L375" s="47"/>
      <c r="M375" s="47"/>
      <c r="N375" s="46"/>
    </row>
    <row r="376" spans="1:14" ht="21.75" customHeight="1" x14ac:dyDescent="0.3">
      <c r="A376" s="115" t="str">
        <f t="shared" si="5"/>
        <v/>
      </c>
      <c r="B376" s="101"/>
      <c r="C376" s="58"/>
      <c r="D376" s="58"/>
      <c r="E376" s="58"/>
      <c r="F376" s="54"/>
      <c r="G376" s="58"/>
      <c r="H376" s="101"/>
      <c r="I376" s="97"/>
      <c r="J376" s="54"/>
      <c r="K376" s="54"/>
      <c r="L376" s="54"/>
      <c r="M376" s="54"/>
      <c r="N376" s="58"/>
    </row>
    <row r="377" spans="1:14" ht="21.75" customHeight="1" x14ac:dyDescent="0.3">
      <c r="A377" s="114" t="str">
        <f t="shared" si="5"/>
        <v/>
      </c>
      <c r="B377" s="93"/>
      <c r="C377" s="46"/>
      <c r="D377" s="46"/>
      <c r="E377" s="46"/>
      <c r="F377" s="47"/>
      <c r="G377" s="46"/>
      <c r="H377" s="93"/>
      <c r="I377" s="89"/>
      <c r="J377" s="47"/>
      <c r="K377" s="47"/>
      <c r="L377" s="47"/>
      <c r="M377" s="47"/>
      <c r="N377" s="46"/>
    </row>
    <row r="378" spans="1:14" ht="21.75" customHeight="1" x14ac:dyDescent="0.3">
      <c r="A378" s="115" t="str">
        <f t="shared" si="5"/>
        <v/>
      </c>
      <c r="B378" s="101"/>
      <c r="C378" s="58"/>
      <c r="D378" s="58"/>
      <c r="E378" s="58"/>
      <c r="F378" s="54"/>
      <c r="G378" s="58"/>
      <c r="H378" s="101"/>
      <c r="I378" s="97"/>
      <c r="J378" s="54"/>
      <c r="K378" s="54"/>
      <c r="L378" s="54"/>
      <c r="M378" s="54"/>
      <c r="N378" s="58"/>
    </row>
    <row r="379" spans="1:14" ht="21.75" customHeight="1" x14ac:dyDescent="0.3">
      <c r="A379" s="114" t="str">
        <f t="shared" si="5"/>
        <v/>
      </c>
      <c r="B379" s="93"/>
      <c r="C379" s="46"/>
      <c r="D379" s="46"/>
      <c r="E379" s="46"/>
      <c r="F379" s="47"/>
      <c r="G379" s="46"/>
      <c r="H379" s="93"/>
      <c r="I379" s="89"/>
      <c r="J379" s="47"/>
      <c r="K379" s="47"/>
      <c r="L379" s="47"/>
      <c r="M379" s="47"/>
      <c r="N379" s="46"/>
    </row>
    <row r="380" spans="1:14" ht="21.75" customHeight="1" x14ac:dyDescent="0.3">
      <c r="A380" s="115" t="str">
        <f t="shared" si="5"/>
        <v/>
      </c>
      <c r="B380" s="101"/>
      <c r="C380" s="58"/>
      <c r="D380" s="58"/>
      <c r="E380" s="58"/>
      <c r="F380" s="54"/>
      <c r="G380" s="58"/>
      <c r="H380" s="101"/>
      <c r="I380" s="97"/>
      <c r="J380" s="54"/>
      <c r="K380" s="54"/>
      <c r="L380" s="54"/>
      <c r="M380" s="54"/>
      <c r="N380" s="58"/>
    </row>
    <row r="381" spans="1:14" ht="21.75" customHeight="1" x14ac:dyDescent="0.3">
      <c r="A381" s="114" t="str">
        <f t="shared" si="5"/>
        <v/>
      </c>
      <c r="B381" s="93"/>
      <c r="C381" s="46"/>
      <c r="D381" s="46"/>
      <c r="E381" s="46"/>
      <c r="F381" s="47"/>
      <c r="G381" s="46"/>
      <c r="H381" s="93"/>
      <c r="I381" s="89"/>
      <c r="J381" s="47"/>
      <c r="K381" s="47"/>
      <c r="L381" s="47"/>
      <c r="M381" s="47"/>
      <c r="N381" s="46"/>
    </row>
    <row r="382" spans="1:14" ht="21.75" customHeight="1" x14ac:dyDescent="0.3">
      <c r="A382" s="115" t="str">
        <f t="shared" si="5"/>
        <v/>
      </c>
      <c r="B382" s="101"/>
      <c r="C382" s="58"/>
      <c r="D382" s="58"/>
      <c r="E382" s="58"/>
      <c r="F382" s="54"/>
      <c r="G382" s="58"/>
      <c r="H382" s="101"/>
      <c r="I382" s="97"/>
      <c r="J382" s="54"/>
      <c r="K382" s="54"/>
      <c r="L382" s="54"/>
      <c r="M382" s="54"/>
      <c r="N382" s="58"/>
    </row>
    <row r="383" spans="1:14" ht="21.75" customHeight="1" x14ac:dyDescent="0.3">
      <c r="A383" s="114" t="str">
        <f t="shared" si="5"/>
        <v/>
      </c>
      <c r="B383" s="93"/>
      <c r="C383" s="46"/>
      <c r="D383" s="46"/>
      <c r="E383" s="46"/>
      <c r="F383" s="47"/>
      <c r="G383" s="46"/>
      <c r="H383" s="93"/>
      <c r="I383" s="89"/>
      <c r="J383" s="47"/>
      <c r="K383" s="47"/>
      <c r="L383" s="47"/>
      <c r="M383" s="47"/>
      <c r="N383" s="46"/>
    </row>
    <row r="384" spans="1:14" ht="21.75" customHeight="1" x14ac:dyDescent="0.3">
      <c r="A384" s="115" t="str">
        <f t="shared" si="5"/>
        <v/>
      </c>
      <c r="B384" s="101"/>
      <c r="C384" s="58"/>
      <c r="D384" s="58"/>
      <c r="E384" s="58"/>
      <c r="F384" s="54"/>
      <c r="G384" s="58"/>
      <c r="H384" s="101"/>
      <c r="I384" s="97"/>
      <c r="J384" s="54"/>
      <c r="K384" s="54"/>
      <c r="L384" s="54"/>
      <c r="M384" s="54"/>
      <c r="N384" s="58"/>
    </row>
    <row r="385" spans="1:14" ht="21.75" customHeight="1" x14ac:dyDescent="0.3">
      <c r="A385" s="114" t="str">
        <f t="shared" si="5"/>
        <v/>
      </c>
      <c r="B385" s="93"/>
      <c r="C385" s="46"/>
      <c r="D385" s="46"/>
      <c r="E385" s="46"/>
      <c r="F385" s="47"/>
      <c r="G385" s="46"/>
      <c r="H385" s="93"/>
      <c r="I385" s="89"/>
      <c r="J385" s="47"/>
      <c r="K385" s="47"/>
      <c r="L385" s="47"/>
      <c r="M385" s="47"/>
      <c r="N385" s="46"/>
    </row>
    <row r="386" spans="1:14" ht="21.75" customHeight="1" x14ac:dyDescent="0.3">
      <c r="A386" s="115" t="str">
        <f t="shared" si="5"/>
        <v/>
      </c>
      <c r="B386" s="101"/>
      <c r="C386" s="58"/>
      <c r="D386" s="58"/>
      <c r="E386" s="58"/>
      <c r="F386" s="54"/>
      <c r="G386" s="58"/>
      <c r="H386" s="101"/>
      <c r="I386" s="97"/>
      <c r="J386" s="54"/>
      <c r="K386" s="54"/>
      <c r="L386" s="54"/>
      <c r="M386" s="54"/>
      <c r="N386" s="58"/>
    </row>
    <row r="387" spans="1:14" ht="21.75" customHeight="1" x14ac:dyDescent="0.3">
      <c r="A387" s="114" t="str">
        <f t="shared" ref="A387:A450" si="6">IF(B387="","",ROW()-2)</f>
        <v/>
      </c>
      <c r="B387" s="93"/>
      <c r="C387" s="46"/>
      <c r="D387" s="46"/>
      <c r="E387" s="46"/>
      <c r="F387" s="47"/>
      <c r="G387" s="46"/>
      <c r="H387" s="93"/>
      <c r="I387" s="89"/>
      <c r="J387" s="47"/>
      <c r="K387" s="47"/>
      <c r="L387" s="47"/>
      <c r="M387" s="47"/>
      <c r="N387" s="46"/>
    </row>
    <row r="388" spans="1:14" ht="21.75" customHeight="1" x14ac:dyDescent="0.3">
      <c r="A388" s="115" t="str">
        <f t="shared" si="6"/>
        <v/>
      </c>
      <c r="B388" s="101"/>
      <c r="C388" s="58"/>
      <c r="D388" s="58"/>
      <c r="E388" s="58"/>
      <c r="F388" s="54"/>
      <c r="G388" s="58"/>
      <c r="H388" s="101"/>
      <c r="I388" s="97"/>
      <c r="J388" s="54"/>
      <c r="K388" s="54"/>
      <c r="L388" s="54"/>
      <c r="M388" s="54"/>
      <c r="N388" s="58"/>
    </row>
    <row r="389" spans="1:14" ht="21.75" customHeight="1" x14ac:dyDescent="0.3">
      <c r="A389" s="114" t="str">
        <f t="shared" si="6"/>
        <v/>
      </c>
      <c r="B389" s="93"/>
      <c r="C389" s="46"/>
      <c r="D389" s="46"/>
      <c r="E389" s="46"/>
      <c r="F389" s="47"/>
      <c r="G389" s="46"/>
      <c r="H389" s="93"/>
      <c r="I389" s="89"/>
      <c r="J389" s="47"/>
      <c r="K389" s="47"/>
      <c r="L389" s="47"/>
      <c r="M389" s="47"/>
      <c r="N389" s="46"/>
    </row>
    <row r="390" spans="1:14" ht="21.75" customHeight="1" x14ac:dyDescent="0.3">
      <c r="A390" s="115" t="str">
        <f t="shared" si="6"/>
        <v/>
      </c>
      <c r="B390" s="101"/>
      <c r="C390" s="58"/>
      <c r="D390" s="58"/>
      <c r="E390" s="58"/>
      <c r="F390" s="54"/>
      <c r="G390" s="58"/>
      <c r="H390" s="101"/>
      <c r="I390" s="97"/>
      <c r="J390" s="54"/>
      <c r="K390" s="54"/>
      <c r="L390" s="54"/>
      <c r="M390" s="54"/>
      <c r="N390" s="58"/>
    </row>
    <row r="391" spans="1:14" ht="21.75" customHeight="1" x14ac:dyDescent="0.3">
      <c r="A391" s="114" t="str">
        <f t="shared" si="6"/>
        <v/>
      </c>
      <c r="B391" s="93"/>
      <c r="C391" s="46"/>
      <c r="D391" s="46"/>
      <c r="E391" s="46"/>
      <c r="F391" s="47"/>
      <c r="G391" s="46"/>
      <c r="H391" s="93"/>
      <c r="I391" s="89"/>
      <c r="J391" s="47"/>
      <c r="K391" s="47"/>
      <c r="L391" s="47"/>
      <c r="M391" s="47"/>
      <c r="N391" s="46"/>
    </row>
    <row r="392" spans="1:14" ht="21.75" customHeight="1" x14ac:dyDescent="0.3">
      <c r="A392" s="115" t="str">
        <f t="shared" si="6"/>
        <v/>
      </c>
      <c r="B392" s="101"/>
      <c r="C392" s="58"/>
      <c r="D392" s="58"/>
      <c r="E392" s="58"/>
      <c r="F392" s="54"/>
      <c r="G392" s="58"/>
      <c r="H392" s="101"/>
      <c r="I392" s="97"/>
      <c r="J392" s="54"/>
      <c r="K392" s="54"/>
      <c r="L392" s="54"/>
      <c r="M392" s="54"/>
      <c r="N392" s="58"/>
    </row>
    <row r="393" spans="1:14" ht="21.75" customHeight="1" x14ac:dyDescent="0.3">
      <c r="A393" s="114" t="str">
        <f t="shared" si="6"/>
        <v/>
      </c>
      <c r="B393" s="93"/>
      <c r="C393" s="46"/>
      <c r="D393" s="46"/>
      <c r="E393" s="46"/>
      <c r="F393" s="47"/>
      <c r="G393" s="46"/>
      <c r="H393" s="93"/>
      <c r="I393" s="89"/>
      <c r="J393" s="47"/>
      <c r="K393" s="47"/>
      <c r="L393" s="47"/>
      <c r="M393" s="47"/>
      <c r="N393" s="46"/>
    </row>
    <row r="394" spans="1:14" ht="21.75" customHeight="1" x14ac:dyDescent="0.3">
      <c r="A394" s="115" t="str">
        <f t="shared" si="6"/>
        <v/>
      </c>
      <c r="B394" s="101"/>
      <c r="C394" s="58"/>
      <c r="D394" s="58"/>
      <c r="E394" s="58"/>
      <c r="F394" s="54"/>
      <c r="G394" s="58"/>
      <c r="H394" s="101"/>
      <c r="I394" s="97"/>
      <c r="J394" s="54"/>
      <c r="K394" s="54"/>
      <c r="L394" s="54"/>
      <c r="M394" s="54"/>
      <c r="N394" s="58"/>
    </row>
    <row r="395" spans="1:14" ht="21.75" customHeight="1" x14ac:dyDescent="0.3">
      <c r="A395" s="114" t="str">
        <f t="shared" si="6"/>
        <v/>
      </c>
      <c r="B395" s="93"/>
      <c r="C395" s="46"/>
      <c r="D395" s="46"/>
      <c r="E395" s="46"/>
      <c r="F395" s="47"/>
      <c r="G395" s="46"/>
      <c r="H395" s="93"/>
      <c r="I395" s="89"/>
      <c r="J395" s="47"/>
      <c r="K395" s="47"/>
      <c r="L395" s="47"/>
      <c r="M395" s="47"/>
      <c r="N395" s="46"/>
    </row>
    <row r="396" spans="1:14" ht="21.75" customHeight="1" x14ac:dyDescent="0.3">
      <c r="A396" s="115" t="str">
        <f t="shared" si="6"/>
        <v/>
      </c>
      <c r="B396" s="101"/>
      <c r="C396" s="58"/>
      <c r="D396" s="58"/>
      <c r="E396" s="58"/>
      <c r="F396" s="54"/>
      <c r="G396" s="58"/>
      <c r="H396" s="101"/>
      <c r="I396" s="97"/>
      <c r="J396" s="54"/>
      <c r="K396" s="54"/>
      <c r="L396" s="54"/>
      <c r="M396" s="54"/>
      <c r="N396" s="58"/>
    </row>
    <row r="397" spans="1:14" ht="21.75" customHeight="1" x14ac:dyDescent="0.3">
      <c r="A397" s="114" t="str">
        <f t="shared" si="6"/>
        <v/>
      </c>
      <c r="B397" s="93"/>
      <c r="C397" s="46"/>
      <c r="D397" s="46"/>
      <c r="E397" s="46"/>
      <c r="F397" s="47"/>
      <c r="G397" s="46"/>
      <c r="H397" s="93"/>
      <c r="I397" s="89"/>
      <c r="J397" s="47"/>
      <c r="K397" s="47"/>
      <c r="L397" s="47"/>
      <c r="M397" s="47"/>
      <c r="N397" s="46"/>
    </row>
    <row r="398" spans="1:14" ht="21.75" customHeight="1" x14ac:dyDescent="0.3">
      <c r="A398" s="115" t="str">
        <f t="shared" si="6"/>
        <v/>
      </c>
      <c r="B398" s="101"/>
      <c r="C398" s="58"/>
      <c r="D398" s="58"/>
      <c r="E398" s="58"/>
      <c r="F398" s="54"/>
      <c r="G398" s="58"/>
      <c r="H398" s="101"/>
      <c r="I398" s="97"/>
      <c r="J398" s="54"/>
      <c r="K398" s="54"/>
      <c r="L398" s="54"/>
      <c r="M398" s="54"/>
      <c r="N398" s="58"/>
    </row>
    <row r="399" spans="1:14" ht="21.75" customHeight="1" x14ac:dyDescent="0.3">
      <c r="A399" s="114" t="str">
        <f t="shared" si="6"/>
        <v/>
      </c>
      <c r="B399" s="93"/>
      <c r="C399" s="46"/>
      <c r="D399" s="46"/>
      <c r="E399" s="46"/>
      <c r="F399" s="47"/>
      <c r="G399" s="46"/>
      <c r="H399" s="93"/>
      <c r="I399" s="89"/>
      <c r="J399" s="47"/>
      <c r="K399" s="47"/>
      <c r="L399" s="47"/>
      <c r="M399" s="47"/>
      <c r="N399" s="46"/>
    </row>
    <row r="400" spans="1:14" ht="21.75" customHeight="1" x14ac:dyDescent="0.3">
      <c r="A400" s="115" t="str">
        <f t="shared" si="6"/>
        <v/>
      </c>
      <c r="B400" s="101"/>
      <c r="C400" s="58"/>
      <c r="D400" s="58"/>
      <c r="E400" s="58"/>
      <c r="F400" s="54"/>
      <c r="G400" s="58"/>
      <c r="H400" s="101"/>
      <c r="I400" s="97"/>
      <c r="J400" s="54"/>
      <c r="K400" s="54"/>
      <c r="L400" s="54"/>
      <c r="M400" s="54"/>
      <c r="N400" s="58"/>
    </row>
    <row r="401" spans="1:14" ht="21.75" customHeight="1" x14ac:dyDescent="0.3">
      <c r="A401" s="114" t="str">
        <f t="shared" si="6"/>
        <v/>
      </c>
      <c r="B401" s="93"/>
      <c r="C401" s="46"/>
      <c r="D401" s="46"/>
      <c r="E401" s="46"/>
      <c r="F401" s="47"/>
      <c r="G401" s="46"/>
      <c r="H401" s="93"/>
      <c r="I401" s="89"/>
      <c r="J401" s="47"/>
      <c r="K401" s="47"/>
      <c r="L401" s="47"/>
      <c r="M401" s="47"/>
      <c r="N401" s="46"/>
    </row>
    <row r="402" spans="1:14" ht="21.75" customHeight="1" x14ac:dyDescent="0.3">
      <c r="A402" s="115" t="str">
        <f t="shared" si="6"/>
        <v/>
      </c>
      <c r="B402" s="101"/>
      <c r="C402" s="58"/>
      <c r="D402" s="58"/>
      <c r="E402" s="58"/>
      <c r="F402" s="54"/>
      <c r="G402" s="58"/>
      <c r="H402" s="101"/>
      <c r="I402" s="97"/>
      <c r="J402" s="54"/>
      <c r="K402" s="54"/>
      <c r="L402" s="54"/>
      <c r="M402" s="54"/>
      <c r="N402" s="58"/>
    </row>
    <row r="403" spans="1:14" ht="21.75" customHeight="1" x14ac:dyDescent="0.3">
      <c r="A403" s="114" t="str">
        <f t="shared" si="6"/>
        <v/>
      </c>
      <c r="B403" s="93"/>
      <c r="C403" s="46"/>
      <c r="D403" s="46"/>
      <c r="E403" s="46"/>
      <c r="F403" s="47"/>
      <c r="G403" s="46"/>
      <c r="H403" s="93"/>
      <c r="I403" s="89"/>
      <c r="J403" s="47"/>
      <c r="K403" s="47"/>
      <c r="L403" s="47"/>
      <c r="M403" s="47"/>
      <c r="N403" s="46"/>
    </row>
    <row r="404" spans="1:14" ht="21.75" customHeight="1" x14ac:dyDescent="0.3">
      <c r="A404" s="115" t="str">
        <f t="shared" si="6"/>
        <v/>
      </c>
      <c r="B404" s="101"/>
      <c r="C404" s="58"/>
      <c r="D404" s="58"/>
      <c r="E404" s="58"/>
      <c r="F404" s="54"/>
      <c r="G404" s="58"/>
      <c r="H404" s="101"/>
      <c r="I404" s="97"/>
      <c r="J404" s="54"/>
      <c r="K404" s="54"/>
      <c r="L404" s="54"/>
      <c r="M404" s="54"/>
      <c r="N404" s="58"/>
    </row>
    <row r="405" spans="1:14" ht="21.75" customHeight="1" x14ac:dyDescent="0.3">
      <c r="A405" s="114" t="str">
        <f t="shared" si="6"/>
        <v/>
      </c>
      <c r="B405" s="93"/>
      <c r="C405" s="46"/>
      <c r="D405" s="46"/>
      <c r="E405" s="46"/>
      <c r="F405" s="47"/>
      <c r="G405" s="46"/>
      <c r="H405" s="93"/>
      <c r="I405" s="89"/>
      <c r="J405" s="47"/>
      <c r="K405" s="47"/>
      <c r="L405" s="47"/>
      <c r="M405" s="47"/>
      <c r="N405" s="46"/>
    </row>
    <row r="406" spans="1:14" ht="21.75" customHeight="1" x14ac:dyDescent="0.3">
      <c r="A406" s="115" t="str">
        <f t="shared" si="6"/>
        <v/>
      </c>
      <c r="B406" s="101"/>
      <c r="C406" s="58"/>
      <c r="D406" s="58"/>
      <c r="E406" s="58"/>
      <c r="F406" s="54"/>
      <c r="G406" s="58"/>
      <c r="H406" s="101"/>
      <c r="I406" s="97"/>
      <c r="J406" s="54"/>
      <c r="K406" s="54"/>
      <c r="L406" s="54"/>
      <c r="M406" s="54"/>
      <c r="N406" s="58"/>
    </row>
    <row r="407" spans="1:14" ht="21.75" customHeight="1" x14ac:dyDescent="0.3">
      <c r="A407" s="114" t="str">
        <f t="shared" si="6"/>
        <v/>
      </c>
      <c r="B407" s="93"/>
      <c r="C407" s="46"/>
      <c r="D407" s="46"/>
      <c r="E407" s="46"/>
      <c r="F407" s="47"/>
      <c r="G407" s="46"/>
      <c r="H407" s="93"/>
      <c r="I407" s="89"/>
      <c r="J407" s="47"/>
      <c r="K407" s="47"/>
      <c r="L407" s="47"/>
      <c r="M407" s="47"/>
      <c r="N407" s="46"/>
    </row>
    <row r="408" spans="1:14" ht="21.75" customHeight="1" x14ac:dyDescent="0.3">
      <c r="A408" s="115" t="str">
        <f t="shared" si="6"/>
        <v/>
      </c>
      <c r="B408" s="101"/>
      <c r="C408" s="58"/>
      <c r="D408" s="58"/>
      <c r="E408" s="58"/>
      <c r="F408" s="54"/>
      <c r="G408" s="58"/>
      <c r="H408" s="101"/>
      <c r="I408" s="97"/>
      <c r="J408" s="54"/>
      <c r="K408" s="54"/>
      <c r="L408" s="54"/>
      <c r="M408" s="54"/>
      <c r="N408" s="58"/>
    </row>
    <row r="409" spans="1:14" ht="21.75" customHeight="1" x14ac:dyDescent="0.3">
      <c r="A409" s="114" t="str">
        <f t="shared" si="6"/>
        <v/>
      </c>
      <c r="B409" s="93"/>
      <c r="C409" s="46"/>
      <c r="D409" s="46"/>
      <c r="E409" s="46"/>
      <c r="F409" s="47"/>
      <c r="G409" s="46"/>
      <c r="H409" s="93"/>
      <c r="I409" s="89"/>
      <c r="J409" s="47"/>
      <c r="K409" s="47"/>
      <c r="L409" s="47"/>
      <c r="M409" s="47"/>
      <c r="N409" s="46"/>
    </row>
    <row r="410" spans="1:14" ht="21.75" customHeight="1" x14ac:dyDescent="0.3">
      <c r="A410" s="115" t="str">
        <f t="shared" si="6"/>
        <v/>
      </c>
      <c r="B410" s="101"/>
      <c r="C410" s="58"/>
      <c r="D410" s="58"/>
      <c r="E410" s="58"/>
      <c r="F410" s="54"/>
      <c r="G410" s="58"/>
      <c r="H410" s="101"/>
      <c r="I410" s="97"/>
      <c r="J410" s="54"/>
      <c r="K410" s="54"/>
      <c r="L410" s="54"/>
      <c r="M410" s="54"/>
      <c r="N410" s="58"/>
    </row>
    <row r="411" spans="1:14" ht="21.75" customHeight="1" x14ac:dyDescent="0.3">
      <c r="A411" s="114" t="str">
        <f t="shared" si="6"/>
        <v/>
      </c>
      <c r="B411" s="93"/>
      <c r="C411" s="46"/>
      <c r="D411" s="46"/>
      <c r="E411" s="46"/>
      <c r="F411" s="47"/>
      <c r="G411" s="46"/>
      <c r="H411" s="93"/>
      <c r="I411" s="89"/>
      <c r="J411" s="47"/>
      <c r="K411" s="47"/>
      <c r="L411" s="47"/>
      <c r="M411" s="47"/>
      <c r="N411" s="46"/>
    </row>
    <row r="412" spans="1:14" ht="21.75" customHeight="1" x14ac:dyDescent="0.3">
      <c r="A412" s="115" t="str">
        <f t="shared" si="6"/>
        <v/>
      </c>
      <c r="B412" s="101"/>
      <c r="C412" s="58"/>
      <c r="D412" s="58"/>
      <c r="E412" s="58"/>
      <c r="F412" s="54"/>
      <c r="G412" s="58"/>
      <c r="H412" s="101"/>
      <c r="I412" s="97"/>
      <c r="J412" s="54"/>
      <c r="K412" s="54"/>
      <c r="L412" s="54"/>
      <c r="M412" s="54"/>
      <c r="N412" s="58"/>
    </row>
    <row r="413" spans="1:14" ht="21.75" customHeight="1" x14ac:dyDescent="0.3">
      <c r="A413" s="114" t="str">
        <f t="shared" si="6"/>
        <v/>
      </c>
      <c r="B413" s="93"/>
      <c r="C413" s="46"/>
      <c r="D413" s="46"/>
      <c r="E413" s="46"/>
      <c r="F413" s="47"/>
      <c r="G413" s="46"/>
      <c r="H413" s="93"/>
      <c r="I413" s="89"/>
      <c r="J413" s="47"/>
      <c r="K413" s="47"/>
      <c r="L413" s="47"/>
      <c r="M413" s="47"/>
      <c r="N413" s="46"/>
    </row>
    <row r="414" spans="1:14" ht="21.75" customHeight="1" x14ac:dyDescent="0.3">
      <c r="A414" s="115" t="str">
        <f t="shared" si="6"/>
        <v/>
      </c>
      <c r="B414" s="101"/>
      <c r="C414" s="58"/>
      <c r="D414" s="58"/>
      <c r="E414" s="58"/>
      <c r="F414" s="54"/>
      <c r="G414" s="58"/>
      <c r="H414" s="101"/>
      <c r="I414" s="97"/>
      <c r="J414" s="54"/>
      <c r="K414" s="54"/>
      <c r="L414" s="54"/>
      <c r="M414" s="54"/>
      <c r="N414" s="58"/>
    </row>
    <row r="415" spans="1:14" ht="21.75" customHeight="1" x14ac:dyDescent="0.3">
      <c r="A415" s="114" t="str">
        <f t="shared" si="6"/>
        <v/>
      </c>
      <c r="B415" s="93"/>
      <c r="C415" s="46"/>
      <c r="D415" s="46"/>
      <c r="E415" s="46"/>
      <c r="F415" s="47"/>
      <c r="G415" s="46"/>
      <c r="H415" s="93"/>
      <c r="I415" s="89"/>
      <c r="J415" s="47"/>
      <c r="K415" s="47"/>
      <c r="L415" s="47"/>
      <c r="M415" s="47"/>
      <c r="N415" s="46"/>
    </row>
    <row r="416" spans="1:14" ht="21.75" customHeight="1" x14ac:dyDescent="0.3">
      <c r="A416" s="115" t="str">
        <f t="shared" si="6"/>
        <v/>
      </c>
      <c r="B416" s="101"/>
      <c r="C416" s="58"/>
      <c r="D416" s="58"/>
      <c r="E416" s="58"/>
      <c r="F416" s="54"/>
      <c r="G416" s="58"/>
      <c r="H416" s="101"/>
      <c r="I416" s="97"/>
      <c r="J416" s="54"/>
      <c r="K416" s="54"/>
      <c r="L416" s="54"/>
      <c r="M416" s="54"/>
      <c r="N416" s="58"/>
    </row>
    <row r="417" spans="1:14" ht="21.75" customHeight="1" x14ac:dyDescent="0.3">
      <c r="A417" s="114" t="str">
        <f t="shared" si="6"/>
        <v/>
      </c>
      <c r="B417" s="93"/>
      <c r="C417" s="46"/>
      <c r="D417" s="46"/>
      <c r="E417" s="46"/>
      <c r="F417" s="47"/>
      <c r="G417" s="46"/>
      <c r="H417" s="93"/>
      <c r="I417" s="89"/>
      <c r="J417" s="47"/>
      <c r="K417" s="47"/>
      <c r="L417" s="47"/>
      <c r="M417" s="47"/>
      <c r="N417" s="46"/>
    </row>
    <row r="418" spans="1:14" ht="21.75" customHeight="1" x14ac:dyDescent="0.3">
      <c r="A418" s="115" t="str">
        <f t="shared" si="6"/>
        <v/>
      </c>
      <c r="B418" s="101"/>
      <c r="C418" s="58"/>
      <c r="D418" s="58"/>
      <c r="E418" s="58"/>
      <c r="F418" s="54"/>
      <c r="G418" s="58"/>
      <c r="H418" s="101"/>
      <c r="I418" s="97"/>
      <c r="J418" s="54"/>
      <c r="K418" s="54"/>
      <c r="L418" s="54"/>
      <c r="M418" s="54"/>
      <c r="N418" s="58"/>
    </row>
    <row r="419" spans="1:14" ht="21.75" customHeight="1" x14ac:dyDescent="0.3">
      <c r="A419" s="114" t="str">
        <f t="shared" si="6"/>
        <v/>
      </c>
      <c r="B419" s="93"/>
      <c r="C419" s="46"/>
      <c r="D419" s="46"/>
      <c r="E419" s="46"/>
      <c r="F419" s="47"/>
      <c r="G419" s="46"/>
      <c r="H419" s="93"/>
      <c r="I419" s="89"/>
      <c r="J419" s="47"/>
      <c r="K419" s="47"/>
      <c r="L419" s="47"/>
      <c r="M419" s="47"/>
      <c r="N419" s="46"/>
    </row>
    <row r="420" spans="1:14" ht="21.75" customHeight="1" x14ac:dyDescent="0.3">
      <c r="A420" s="115" t="str">
        <f t="shared" si="6"/>
        <v/>
      </c>
      <c r="B420" s="101"/>
      <c r="C420" s="58"/>
      <c r="D420" s="58"/>
      <c r="E420" s="58"/>
      <c r="F420" s="54"/>
      <c r="G420" s="58"/>
      <c r="H420" s="101"/>
      <c r="I420" s="97"/>
      <c r="J420" s="54"/>
      <c r="K420" s="54"/>
      <c r="L420" s="54"/>
      <c r="M420" s="54"/>
      <c r="N420" s="58"/>
    </row>
    <row r="421" spans="1:14" ht="21.75" customHeight="1" x14ac:dyDescent="0.3">
      <c r="A421" s="114" t="str">
        <f t="shared" si="6"/>
        <v/>
      </c>
      <c r="B421" s="93"/>
      <c r="C421" s="46"/>
      <c r="D421" s="46"/>
      <c r="E421" s="46"/>
      <c r="F421" s="47"/>
      <c r="G421" s="46"/>
      <c r="H421" s="93"/>
      <c r="I421" s="89"/>
      <c r="J421" s="47"/>
      <c r="K421" s="47"/>
      <c r="L421" s="47"/>
      <c r="M421" s="47"/>
      <c r="N421" s="46"/>
    </row>
    <row r="422" spans="1:14" ht="21.75" customHeight="1" x14ac:dyDescent="0.3">
      <c r="A422" s="115" t="str">
        <f t="shared" si="6"/>
        <v/>
      </c>
      <c r="B422" s="101"/>
      <c r="C422" s="58"/>
      <c r="D422" s="58"/>
      <c r="E422" s="58"/>
      <c r="F422" s="54"/>
      <c r="G422" s="58"/>
      <c r="H422" s="101"/>
      <c r="I422" s="97"/>
      <c r="J422" s="54"/>
      <c r="K422" s="54"/>
      <c r="L422" s="54"/>
      <c r="M422" s="54"/>
      <c r="N422" s="58"/>
    </row>
    <row r="423" spans="1:14" ht="21.75" customHeight="1" x14ac:dyDescent="0.3">
      <c r="A423" s="114" t="str">
        <f t="shared" si="6"/>
        <v/>
      </c>
      <c r="B423" s="93"/>
      <c r="C423" s="46"/>
      <c r="D423" s="46"/>
      <c r="E423" s="46"/>
      <c r="F423" s="47"/>
      <c r="G423" s="46"/>
      <c r="H423" s="93"/>
      <c r="I423" s="89"/>
      <c r="J423" s="47"/>
      <c r="K423" s="47"/>
      <c r="L423" s="47"/>
      <c r="M423" s="47"/>
      <c r="N423" s="46"/>
    </row>
    <row r="424" spans="1:14" ht="21.75" customHeight="1" x14ac:dyDescent="0.3">
      <c r="A424" s="115" t="str">
        <f t="shared" si="6"/>
        <v/>
      </c>
      <c r="B424" s="101"/>
      <c r="C424" s="58"/>
      <c r="D424" s="58"/>
      <c r="E424" s="58"/>
      <c r="F424" s="54"/>
      <c r="G424" s="58"/>
      <c r="H424" s="101"/>
      <c r="I424" s="97"/>
      <c r="J424" s="54"/>
      <c r="K424" s="54"/>
      <c r="L424" s="54"/>
      <c r="M424" s="54"/>
      <c r="N424" s="58"/>
    </row>
    <row r="425" spans="1:14" ht="21.75" customHeight="1" x14ac:dyDescent="0.3">
      <c r="A425" s="114" t="str">
        <f t="shared" si="6"/>
        <v/>
      </c>
      <c r="B425" s="93"/>
      <c r="C425" s="46"/>
      <c r="D425" s="46"/>
      <c r="E425" s="46"/>
      <c r="F425" s="47"/>
      <c r="G425" s="46"/>
      <c r="H425" s="93"/>
      <c r="I425" s="89"/>
      <c r="J425" s="47"/>
      <c r="K425" s="47"/>
      <c r="L425" s="47"/>
      <c r="M425" s="47"/>
      <c r="N425" s="46"/>
    </row>
    <row r="426" spans="1:14" ht="21.75" customHeight="1" x14ac:dyDescent="0.3">
      <c r="A426" s="115" t="str">
        <f t="shared" si="6"/>
        <v/>
      </c>
      <c r="B426" s="101"/>
      <c r="C426" s="58"/>
      <c r="D426" s="58"/>
      <c r="E426" s="58"/>
      <c r="F426" s="54"/>
      <c r="G426" s="58"/>
      <c r="H426" s="101"/>
      <c r="I426" s="97"/>
      <c r="J426" s="54"/>
      <c r="K426" s="54"/>
      <c r="L426" s="54"/>
      <c r="M426" s="54"/>
      <c r="N426" s="58"/>
    </row>
    <row r="427" spans="1:14" ht="21.75" customHeight="1" x14ac:dyDescent="0.3">
      <c r="A427" s="114" t="str">
        <f t="shared" si="6"/>
        <v/>
      </c>
      <c r="B427" s="93"/>
      <c r="C427" s="46"/>
      <c r="D427" s="46"/>
      <c r="E427" s="46"/>
      <c r="F427" s="47"/>
      <c r="G427" s="46"/>
      <c r="H427" s="93"/>
      <c r="I427" s="89"/>
      <c r="J427" s="47"/>
      <c r="K427" s="47"/>
      <c r="L427" s="47"/>
      <c r="M427" s="47"/>
      <c r="N427" s="46"/>
    </row>
    <row r="428" spans="1:14" ht="21.75" customHeight="1" x14ac:dyDescent="0.3">
      <c r="A428" s="115" t="str">
        <f t="shared" si="6"/>
        <v/>
      </c>
      <c r="B428" s="101"/>
      <c r="C428" s="58"/>
      <c r="D428" s="58"/>
      <c r="E428" s="58"/>
      <c r="F428" s="54"/>
      <c r="G428" s="58"/>
      <c r="H428" s="101"/>
      <c r="I428" s="97"/>
      <c r="J428" s="54"/>
      <c r="K428" s="54"/>
      <c r="L428" s="54"/>
      <c r="M428" s="54"/>
      <c r="N428" s="58"/>
    </row>
    <row r="429" spans="1:14" ht="21.75" customHeight="1" x14ac:dyDescent="0.3">
      <c r="A429" s="114" t="str">
        <f t="shared" si="6"/>
        <v/>
      </c>
      <c r="B429" s="93"/>
      <c r="C429" s="46"/>
      <c r="D429" s="46"/>
      <c r="E429" s="46"/>
      <c r="F429" s="47"/>
      <c r="G429" s="46"/>
      <c r="H429" s="93"/>
      <c r="I429" s="89"/>
      <c r="J429" s="47"/>
      <c r="K429" s="47"/>
      <c r="L429" s="47"/>
      <c r="M429" s="47"/>
      <c r="N429" s="46"/>
    </row>
    <row r="430" spans="1:14" ht="21.75" customHeight="1" x14ac:dyDescent="0.3">
      <c r="A430" s="115" t="str">
        <f t="shared" si="6"/>
        <v/>
      </c>
      <c r="B430" s="101"/>
      <c r="C430" s="58"/>
      <c r="D430" s="58"/>
      <c r="E430" s="58"/>
      <c r="F430" s="54"/>
      <c r="G430" s="58"/>
      <c r="H430" s="101"/>
      <c r="I430" s="97"/>
      <c r="J430" s="54"/>
      <c r="K430" s="54"/>
      <c r="L430" s="54"/>
      <c r="M430" s="54"/>
      <c r="N430" s="58"/>
    </row>
    <row r="431" spans="1:14" ht="21.75" customHeight="1" x14ac:dyDescent="0.3">
      <c r="A431" s="114" t="str">
        <f t="shared" si="6"/>
        <v/>
      </c>
      <c r="B431" s="93"/>
      <c r="C431" s="46"/>
      <c r="D431" s="46"/>
      <c r="E431" s="46"/>
      <c r="F431" s="47"/>
      <c r="G431" s="46"/>
      <c r="H431" s="93"/>
      <c r="I431" s="89"/>
      <c r="J431" s="47"/>
      <c r="K431" s="47"/>
      <c r="L431" s="47"/>
      <c r="M431" s="47"/>
      <c r="N431" s="46"/>
    </row>
    <row r="432" spans="1:14" ht="21.75" customHeight="1" x14ac:dyDescent="0.3">
      <c r="A432" s="115" t="str">
        <f t="shared" si="6"/>
        <v/>
      </c>
      <c r="B432" s="101"/>
      <c r="C432" s="58"/>
      <c r="D432" s="58"/>
      <c r="E432" s="58"/>
      <c r="F432" s="54"/>
      <c r="G432" s="58"/>
      <c r="H432" s="101"/>
      <c r="I432" s="97"/>
      <c r="J432" s="54"/>
      <c r="K432" s="54"/>
      <c r="L432" s="54"/>
      <c r="M432" s="54"/>
      <c r="N432" s="58"/>
    </row>
    <row r="433" spans="1:14" ht="21.75" customHeight="1" x14ac:dyDescent="0.3">
      <c r="A433" s="114" t="str">
        <f t="shared" si="6"/>
        <v/>
      </c>
      <c r="B433" s="93"/>
      <c r="C433" s="46"/>
      <c r="D433" s="46"/>
      <c r="E433" s="46"/>
      <c r="F433" s="47"/>
      <c r="G433" s="46"/>
      <c r="H433" s="93"/>
      <c r="I433" s="89"/>
      <c r="J433" s="47"/>
      <c r="K433" s="47"/>
      <c r="L433" s="47"/>
      <c r="M433" s="47"/>
      <c r="N433" s="46"/>
    </row>
    <row r="434" spans="1:14" ht="21.75" customHeight="1" x14ac:dyDescent="0.3">
      <c r="A434" s="115" t="str">
        <f t="shared" si="6"/>
        <v/>
      </c>
      <c r="B434" s="101"/>
      <c r="C434" s="58"/>
      <c r="D434" s="58"/>
      <c r="E434" s="58"/>
      <c r="F434" s="54"/>
      <c r="G434" s="58"/>
      <c r="H434" s="101"/>
      <c r="I434" s="97"/>
      <c r="J434" s="54"/>
      <c r="K434" s="54"/>
      <c r="L434" s="54"/>
      <c r="M434" s="54"/>
      <c r="N434" s="58"/>
    </row>
    <row r="435" spans="1:14" ht="21.75" customHeight="1" x14ac:dyDescent="0.3">
      <c r="A435" s="114" t="str">
        <f t="shared" si="6"/>
        <v/>
      </c>
      <c r="B435" s="93"/>
      <c r="C435" s="46"/>
      <c r="D435" s="46"/>
      <c r="E435" s="46"/>
      <c r="F435" s="47"/>
      <c r="G435" s="46"/>
      <c r="H435" s="93"/>
      <c r="I435" s="89"/>
      <c r="J435" s="47"/>
      <c r="K435" s="47"/>
      <c r="L435" s="47"/>
      <c r="M435" s="47"/>
      <c r="N435" s="46"/>
    </row>
    <row r="436" spans="1:14" ht="21.75" customHeight="1" x14ac:dyDescent="0.3">
      <c r="A436" s="115" t="str">
        <f t="shared" si="6"/>
        <v/>
      </c>
      <c r="B436" s="101"/>
      <c r="C436" s="58"/>
      <c r="D436" s="58"/>
      <c r="E436" s="58"/>
      <c r="F436" s="54"/>
      <c r="G436" s="58"/>
      <c r="H436" s="101"/>
      <c r="I436" s="97"/>
      <c r="J436" s="54"/>
      <c r="K436" s="54"/>
      <c r="L436" s="54"/>
      <c r="M436" s="54"/>
      <c r="N436" s="58"/>
    </row>
    <row r="437" spans="1:14" ht="21.75" customHeight="1" x14ac:dyDescent="0.3">
      <c r="A437" s="114" t="str">
        <f t="shared" si="6"/>
        <v/>
      </c>
      <c r="B437" s="93"/>
      <c r="C437" s="46"/>
      <c r="D437" s="46"/>
      <c r="E437" s="46"/>
      <c r="F437" s="47"/>
      <c r="G437" s="46"/>
      <c r="H437" s="93"/>
      <c r="I437" s="89"/>
      <c r="J437" s="47"/>
      <c r="K437" s="47"/>
      <c r="L437" s="47"/>
      <c r="M437" s="47"/>
      <c r="N437" s="46"/>
    </row>
    <row r="438" spans="1:14" ht="21.75" customHeight="1" x14ac:dyDescent="0.3">
      <c r="A438" s="115" t="str">
        <f t="shared" si="6"/>
        <v/>
      </c>
      <c r="B438" s="101"/>
      <c r="C438" s="58"/>
      <c r="D438" s="58"/>
      <c r="E438" s="58"/>
      <c r="F438" s="54"/>
      <c r="G438" s="58"/>
      <c r="H438" s="101"/>
      <c r="I438" s="97"/>
      <c r="J438" s="54"/>
      <c r="K438" s="54"/>
      <c r="L438" s="54"/>
      <c r="M438" s="54"/>
      <c r="N438" s="58"/>
    </row>
    <row r="439" spans="1:14" ht="21.75" customHeight="1" x14ac:dyDescent="0.3">
      <c r="A439" s="114" t="str">
        <f t="shared" si="6"/>
        <v/>
      </c>
      <c r="B439" s="93"/>
      <c r="C439" s="46"/>
      <c r="D439" s="46"/>
      <c r="E439" s="46"/>
      <c r="F439" s="47"/>
      <c r="G439" s="46"/>
      <c r="H439" s="93"/>
      <c r="I439" s="89"/>
      <c r="J439" s="47"/>
      <c r="K439" s="47"/>
      <c r="L439" s="47"/>
      <c r="M439" s="47"/>
      <c r="N439" s="46"/>
    </row>
    <row r="440" spans="1:14" ht="21.75" customHeight="1" x14ac:dyDescent="0.3">
      <c r="A440" s="115" t="str">
        <f t="shared" si="6"/>
        <v/>
      </c>
      <c r="B440" s="101"/>
      <c r="C440" s="58"/>
      <c r="D440" s="58"/>
      <c r="E440" s="58"/>
      <c r="F440" s="54"/>
      <c r="G440" s="58"/>
      <c r="H440" s="101"/>
      <c r="I440" s="97"/>
      <c r="J440" s="54"/>
      <c r="K440" s="54"/>
      <c r="L440" s="54"/>
      <c r="M440" s="54"/>
      <c r="N440" s="58"/>
    </row>
    <row r="441" spans="1:14" ht="21.75" customHeight="1" x14ac:dyDescent="0.3">
      <c r="A441" s="114" t="str">
        <f t="shared" si="6"/>
        <v/>
      </c>
      <c r="B441" s="93"/>
      <c r="C441" s="46"/>
      <c r="D441" s="46"/>
      <c r="E441" s="46"/>
      <c r="F441" s="47"/>
      <c r="G441" s="46"/>
      <c r="H441" s="93"/>
      <c r="I441" s="89"/>
      <c r="J441" s="47"/>
      <c r="K441" s="47"/>
      <c r="L441" s="47"/>
      <c r="M441" s="47"/>
      <c r="N441" s="46"/>
    </row>
    <row r="442" spans="1:14" ht="21.75" customHeight="1" x14ac:dyDescent="0.3">
      <c r="A442" s="115" t="str">
        <f t="shared" si="6"/>
        <v/>
      </c>
      <c r="B442" s="101"/>
      <c r="C442" s="58"/>
      <c r="D442" s="58"/>
      <c r="E442" s="58"/>
      <c r="F442" s="54"/>
      <c r="G442" s="58"/>
      <c r="H442" s="101"/>
      <c r="I442" s="97"/>
      <c r="J442" s="54"/>
      <c r="K442" s="54"/>
      <c r="L442" s="54"/>
      <c r="M442" s="54"/>
      <c r="N442" s="58"/>
    </row>
    <row r="443" spans="1:14" ht="21.75" customHeight="1" x14ac:dyDescent="0.3">
      <c r="A443" s="114" t="str">
        <f t="shared" si="6"/>
        <v/>
      </c>
      <c r="B443" s="93"/>
      <c r="C443" s="46"/>
      <c r="D443" s="46"/>
      <c r="E443" s="46"/>
      <c r="F443" s="47"/>
      <c r="G443" s="46"/>
      <c r="H443" s="93"/>
      <c r="I443" s="89"/>
      <c r="J443" s="47"/>
      <c r="K443" s="47"/>
      <c r="L443" s="47"/>
      <c r="M443" s="47"/>
      <c r="N443" s="46"/>
    </row>
    <row r="444" spans="1:14" ht="21.75" customHeight="1" x14ac:dyDescent="0.3">
      <c r="A444" s="115" t="str">
        <f t="shared" si="6"/>
        <v/>
      </c>
      <c r="B444" s="101"/>
      <c r="C444" s="58"/>
      <c r="D444" s="58"/>
      <c r="E444" s="58"/>
      <c r="F444" s="54"/>
      <c r="G444" s="58"/>
      <c r="H444" s="101"/>
      <c r="I444" s="97"/>
      <c r="J444" s="54"/>
      <c r="K444" s="54"/>
      <c r="L444" s="54"/>
      <c r="M444" s="54"/>
      <c r="N444" s="58"/>
    </row>
    <row r="445" spans="1:14" ht="21.75" customHeight="1" x14ac:dyDescent="0.3">
      <c r="A445" s="114" t="str">
        <f t="shared" si="6"/>
        <v/>
      </c>
      <c r="B445" s="93"/>
      <c r="C445" s="46"/>
      <c r="D445" s="46"/>
      <c r="E445" s="46"/>
      <c r="F445" s="47"/>
      <c r="G445" s="46"/>
      <c r="H445" s="93"/>
      <c r="I445" s="89"/>
      <c r="J445" s="47"/>
      <c r="K445" s="47"/>
      <c r="L445" s="47"/>
      <c r="M445" s="47"/>
      <c r="N445" s="46"/>
    </row>
    <row r="446" spans="1:14" ht="21.75" customHeight="1" x14ac:dyDescent="0.3">
      <c r="A446" s="115" t="str">
        <f t="shared" si="6"/>
        <v/>
      </c>
      <c r="B446" s="101"/>
      <c r="C446" s="58"/>
      <c r="D446" s="58"/>
      <c r="E446" s="58"/>
      <c r="F446" s="54"/>
      <c r="G446" s="58"/>
      <c r="H446" s="101"/>
      <c r="I446" s="97"/>
      <c r="J446" s="54"/>
      <c r="K446" s="54"/>
      <c r="L446" s="54"/>
      <c r="M446" s="54"/>
      <c r="N446" s="58"/>
    </row>
    <row r="447" spans="1:14" ht="21.75" customHeight="1" x14ac:dyDescent="0.3">
      <c r="A447" s="114" t="str">
        <f t="shared" si="6"/>
        <v/>
      </c>
      <c r="B447" s="93"/>
      <c r="C447" s="46"/>
      <c r="D447" s="46"/>
      <c r="E447" s="46"/>
      <c r="F447" s="47"/>
      <c r="G447" s="46"/>
      <c r="H447" s="93"/>
      <c r="I447" s="89"/>
      <c r="J447" s="47"/>
      <c r="K447" s="47"/>
      <c r="L447" s="47"/>
      <c r="M447" s="47"/>
      <c r="N447" s="46"/>
    </row>
    <row r="448" spans="1:14" ht="21.75" customHeight="1" x14ac:dyDescent="0.3">
      <c r="A448" s="115" t="str">
        <f t="shared" si="6"/>
        <v/>
      </c>
      <c r="B448" s="101"/>
      <c r="C448" s="58"/>
      <c r="D448" s="58"/>
      <c r="E448" s="58"/>
      <c r="F448" s="54"/>
      <c r="G448" s="58"/>
      <c r="H448" s="101"/>
      <c r="I448" s="97"/>
      <c r="J448" s="54"/>
      <c r="K448" s="54"/>
      <c r="L448" s="54"/>
      <c r="M448" s="54"/>
      <c r="N448" s="58"/>
    </row>
    <row r="449" spans="1:14" ht="21.75" customHeight="1" x14ac:dyDescent="0.3">
      <c r="A449" s="114" t="str">
        <f t="shared" si="6"/>
        <v/>
      </c>
      <c r="B449" s="93"/>
      <c r="C449" s="46"/>
      <c r="D449" s="46"/>
      <c r="E449" s="46"/>
      <c r="F449" s="47"/>
      <c r="G449" s="46"/>
      <c r="H449" s="93"/>
      <c r="I449" s="89"/>
      <c r="J449" s="47"/>
      <c r="K449" s="47"/>
      <c r="L449" s="47"/>
      <c r="M449" s="47"/>
      <c r="N449" s="46"/>
    </row>
    <row r="450" spans="1:14" ht="21.75" customHeight="1" x14ac:dyDescent="0.3">
      <c r="A450" s="115" t="str">
        <f t="shared" si="6"/>
        <v/>
      </c>
      <c r="B450" s="101"/>
      <c r="C450" s="58"/>
      <c r="D450" s="58"/>
      <c r="E450" s="58"/>
      <c r="F450" s="54"/>
      <c r="G450" s="58"/>
      <c r="H450" s="101"/>
      <c r="I450" s="97"/>
      <c r="J450" s="54"/>
      <c r="K450" s="54"/>
      <c r="L450" s="54"/>
      <c r="M450" s="54"/>
      <c r="N450" s="58"/>
    </row>
    <row r="451" spans="1:14" ht="21.75" customHeight="1" x14ac:dyDescent="0.3">
      <c r="A451" s="114" t="str">
        <f t="shared" ref="A451:A514" si="7">IF(B451="","",ROW()-2)</f>
        <v/>
      </c>
      <c r="B451" s="93"/>
      <c r="C451" s="46"/>
      <c r="D451" s="46"/>
      <c r="E451" s="46"/>
      <c r="F451" s="47"/>
      <c r="G451" s="46"/>
      <c r="H451" s="93"/>
      <c r="I451" s="89"/>
      <c r="J451" s="47"/>
      <c r="K451" s="47"/>
      <c r="L451" s="47"/>
      <c r="M451" s="47"/>
      <c r="N451" s="46"/>
    </row>
    <row r="452" spans="1:14" ht="21.75" customHeight="1" x14ac:dyDescent="0.3">
      <c r="A452" s="115" t="str">
        <f t="shared" si="7"/>
        <v/>
      </c>
      <c r="B452" s="101"/>
      <c r="C452" s="58"/>
      <c r="D452" s="58"/>
      <c r="E452" s="58"/>
      <c r="F452" s="54"/>
      <c r="G452" s="58"/>
      <c r="H452" s="101"/>
      <c r="I452" s="97"/>
      <c r="J452" s="54"/>
      <c r="K452" s="54"/>
      <c r="L452" s="54"/>
      <c r="M452" s="54"/>
      <c r="N452" s="58"/>
    </row>
    <row r="453" spans="1:14" ht="21.75" customHeight="1" x14ac:dyDescent="0.3">
      <c r="A453" s="114" t="str">
        <f t="shared" si="7"/>
        <v/>
      </c>
      <c r="B453" s="93"/>
      <c r="C453" s="46"/>
      <c r="D453" s="46"/>
      <c r="E453" s="46"/>
      <c r="F453" s="47"/>
      <c r="G453" s="46"/>
      <c r="H453" s="93"/>
      <c r="I453" s="89"/>
      <c r="J453" s="47"/>
      <c r="K453" s="47"/>
      <c r="L453" s="47"/>
      <c r="M453" s="47"/>
      <c r="N453" s="46"/>
    </row>
    <row r="454" spans="1:14" ht="21.75" customHeight="1" x14ac:dyDescent="0.3">
      <c r="A454" s="115" t="str">
        <f t="shared" si="7"/>
        <v/>
      </c>
      <c r="B454" s="101"/>
      <c r="C454" s="58"/>
      <c r="D454" s="58"/>
      <c r="E454" s="58"/>
      <c r="F454" s="54"/>
      <c r="G454" s="58"/>
      <c r="H454" s="101"/>
      <c r="I454" s="97"/>
      <c r="J454" s="54"/>
      <c r="K454" s="54"/>
      <c r="L454" s="54"/>
      <c r="M454" s="54"/>
      <c r="N454" s="58"/>
    </row>
    <row r="455" spans="1:14" ht="21.75" customHeight="1" x14ac:dyDescent="0.3">
      <c r="A455" s="114" t="str">
        <f t="shared" si="7"/>
        <v/>
      </c>
      <c r="B455" s="93"/>
      <c r="C455" s="46"/>
      <c r="D455" s="46"/>
      <c r="E455" s="46"/>
      <c r="F455" s="47"/>
      <c r="G455" s="46"/>
      <c r="H455" s="93"/>
      <c r="I455" s="89"/>
      <c r="J455" s="47"/>
      <c r="K455" s="47"/>
      <c r="L455" s="47"/>
      <c r="M455" s="47"/>
      <c r="N455" s="46"/>
    </row>
    <row r="456" spans="1:14" ht="21.75" customHeight="1" x14ac:dyDescent="0.3">
      <c r="A456" s="115" t="str">
        <f t="shared" si="7"/>
        <v/>
      </c>
      <c r="B456" s="101"/>
      <c r="C456" s="58"/>
      <c r="D456" s="58"/>
      <c r="E456" s="58"/>
      <c r="F456" s="54"/>
      <c r="G456" s="58"/>
      <c r="H456" s="101"/>
      <c r="I456" s="97"/>
      <c r="J456" s="54"/>
      <c r="K456" s="54"/>
      <c r="L456" s="54"/>
      <c r="M456" s="54"/>
      <c r="N456" s="58"/>
    </row>
    <row r="457" spans="1:14" ht="21.75" customHeight="1" x14ac:dyDescent="0.3">
      <c r="A457" s="114" t="str">
        <f t="shared" si="7"/>
        <v/>
      </c>
      <c r="B457" s="93"/>
      <c r="C457" s="46"/>
      <c r="D457" s="46"/>
      <c r="E457" s="46"/>
      <c r="F457" s="47"/>
      <c r="G457" s="46"/>
      <c r="H457" s="93"/>
      <c r="I457" s="89"/>
      <c r="J457" s="47"/>
      <c r="K457" s="47"/>
      <c r="L457" s="47"/>
      <c r="M457" s="47"/>
      <c r="N457" s="46"/>
    </row>
    <row r="458" spans="1:14" ht="21.75" customHeight="1" x14ac:dyDescent="0.3">
      <c r="A458" s="115" t="str">
        <f t="shared" si="7"/>
        <v/>
      </c>
      <c r="B458" s="101"/>
      <c r="C458" s="58"/>
      <c r="D458" s="58"/>
      <c r="E458" s="58"/>
      <c r="F458" s="54"/>
      <c r="G458" s="58"/>
      <c r="H458" s="101"/>
      <c r="I458" s="97"/>
      <c r="J458" s="54"/>
      <c r="K458" s="54"/>
      <c r="L458" s="54"/>
      <c r="M458" s="54"/>
      <c r="N458" s="58"/>
    </row>
    <row r="459" spans="1:14" ht="21.75" customHeight="1" x14ac:dyDescent="0.3">
      <c r="A459" s="114" t="str">
        <f t="shared" si="7"/>
        <v/>
      </c>
      <c r="B459" s="93"/>
      <c r="C459" s="46"/>
      <c r="D459" s="46"/>
      <c r="E459" s="46"/>
      <c r="F459" s="47"/>
      <c r="G459" s="46"/>
      <c r="H459" s="93"/>
      <c r="I459" s="89"/>
      <c r="J459" s="47"/>
      <c r="K459" s="47"/>
      <c r="L459" s="47"/>
      <c r="M459" s="47"/>
      <c r="N459" s="46"/>
    </row>
    <row r="460" spans="1:14" ht="21.75" customHeight="1" x14ac:dyDescent="0.3">
      <c r="A460" s="115" t="str">
        <f t="shared" si="7"/>
        <v/>
      </c>
      <c r="B460" s="101"/>
      <c r="C460" s="58"/>
      <c r="D460" s="58"/>
      <c r="E460" s="58"/>
      <c r="F460" s="54"/>
      <c r="G460" s="58"/>
      <c r="H460" s="101"/>
      <c r="I460" s="97"/>
      <c r="J460" s="54"/>
      <c r="K460" s="54"/>
      <c r="L460" s="54"/>
      <c r="M460" s="54"/>
      <c r="N460" s="58"/>
    </row>
    <row r="461" spans="1:14" ht="21.75" customHeight="1" x14ac:dyDescent="0.3">
      <c r="A461" s="114" t="str">
        <f t="shared" si="7"/>
        <v/>
      </c>
      <c r="B461" s="93"/>
      <c r="C461" s="46"/>
      <c r="D461" s="46"/>
      <c r="E461" s="46"/>
      <c r="F461" s="47"/>
      <c r="G461" s="46"/>
      <c r="H461" s="93"/>
      <c r="I461" s="89"/>
      <c r="J461" s="47"/>
      <c r="K461" s="47"/>
      <c r="L461" s="47"/>
      <c r="M461" s="47"/>
      <c r="N461" s="46"/>
    </row>
    <row r="462" spans="1:14" ht="21.75" customHeight="1" x14ac:dyDescent="0.3">
      <c r="A462" s="115" t="str">
        <f t="shared" si="7"/>
        <v/>
      </c>
      <c r="B462" s="101"/>
      <c r="C462" s="58"/>
      <c r="D462" s="58"/>
      <c r="E462" s="58"/>
      <c r="F462" s="54"/>
      <c r="G462" s="58"/>
      <c r="H462" s="101"/>
      <c r="I462" s="97"/>
      <c r="J462" s="54"/>
      <c r="K462" s="54"/>
      <c r="L462" s="54"/>
      <c r="M462" s="54"/>
      <c r="N462" s="58"/>
    </row>
    <row r="463" spans="1:14" ht="21.75" customHeight="1" x14ac:dyDescent="0.3">
      <c r="A463" s="114" t="str">
        <f t="shared" si="7"/>
        <v/>
      </c>
      <c r="B463" s="93"/>
      <c r="C463" s="46"/>
      <c r="D463" s="46"/>
      <c r="E463" s="46"/>
      <c r="F463" s="47"/>
      <c r="G463" s="46"/>
      <c r="H463" s="93"/>
      <c r="I463" s="89"/>
      <c r="J463" s="47"/>
      <c r="K463" s="47"/>
      <c r="L463" s="47"/>
      <c r="M463" s="47"/>
      <c r="N463" s="46"/>
    </row>
    <row r="464" spans="1:14" ht="21.75" customHeight="1" x14ac:dyDescent="0.3">
      <c r="A464" s="115" t="str">
        <f t="shared" si="7"/>
        <v/>
      </c>
      <c r="B464" s="101"/>
      <c r="C464" s="58"/>
      <c r="D464" s="58"/>
      <c r="E464" s="58"/>
      <c r="F464" s="54"/>
      <c r="G464" s="58"/>
      <c r="H464" s="101"/>
      <c r="I464" s="97"/>
      <c r="J464" s="54"/>
      <c r="K464" s="54"/>
      <c r="L464" s="54"/>
      <c r="M464" s="54"/>
      <c r="N464" s="58"/>
    </row>
    <row r="465" spans="1:14" ht="21.75" customHeight="1" x14ac:dyDescent="0.3">
      <c r="A465" s="114" t="str">
        <f t="shared" si="7"/>
        <v/>
      </c>
      <c r="B465" s="93"/>
      <c r="C465" s="46"/>
      <c r="D465" s="46"/>
      <c r="E465" s="46"/>
      <c r="F465" s="47"/>
      <c r="G465" s="46"/>
      <c r="H465" s="93"/>
      <c r="I465" s="89"/>
      <c r="J465" s="47"/>
      <c r="K465" s="47"/>
      <c r="L465" s="47"/>
      <c r="M465" s="47"/>
      <c r="N465" s="46"/>
    </row>
    <row r="466" spans="1:14" ht="21.75" customHeight="1" x14ac:dyDescent="0.3">
      <c r="A466" s="115" t="str">
        <f t="shared" si="7"/>
        <v/>
      </c>
      <c r="B466" s="101"/>
      <c r="C466" s="58"/>
      <c r="D466" s="58"/>
      <c r="E466" s="58"/>
      <c r="F466" s="54"/>
      <c r="G466" s="58"/>
      <c r="H466" s="101"/>
      <c r="I466" s="97"/>
      <c r="J466" s="54"/>
      <c r="K466" s="54"/>
      <c r="L466" s="54"/>
      <c r="M466" s="54"/>
      <c r="N466" s="58"/>
    </row>
    <row r="467" spans="1:14" ht="21.75" customHeight="1" x14ac:dyDescent="0.3">
      <c r="A467" s="114" t="str">
        <f t="shared" si="7"/>
        <v/>
      </c>
      <c r="B467" s="93"/>
      <c r="C467" s="46"/>
      <c r="D467" s="46"/>
      <c r="E467" s="46"/>
      <c r="F467" s="47"/>
      <c r="G467" s="46"/>
      <c r="H467" s="93"/>
      <c r="I467" s="89"/>
      <c r="J467" s="47"/>
      <c r="K467" s="47"/>
      <c r="L467" s="47"/>
      <c r="M467" s="47"/>
      <c r="N467" s="46"/>
    </row>
    <row r="468" spans="1:14" ht="21.75" customHeight="1" x14ac:dyDescent="0.3">
      <c r="A468" s="115" t="str">
        <f t="shared" si="7"/>
        <v/>
      </c>
      <c r="B468" s="101"/>
      <c r="C468" s="58"/>
      <c r="D468" s="58"/>
      <c r="E468" s="58"/>
      <c r="F468" s="54"/>
      <c r="G468" s="58"/>
      <c r="H468" s="101"/>
      <c r="I468" s="97"/>
      <c r="J468" s="54"/>
      <c r="K468" s="54"/>
      <c r="L468" s="54"/>
      <c r="M468" s="54"/>
      <c r="N468" s="58"/>
    </row>
    <row r="469" spans="1:14" ht="21.75" customHeight="1" x14ac:dyDescent="0.3">
      <c r="A469" s="114" t="str">
        <f t="shared" si="7"/>
        <v/>
      </c>
      <c r="B469" s="93"/>
      <c r="C469" s="46"/>
      <c r="D469" s="46"/>
      <c r="E469" s="46"/>
      <c r="F469" s="47"/>
      <c r="G469" s="46"/>
      <c r="H469" s="93"/>
      <c r="I469" s="89"/>
      <c r="J469" s="47"/>
      <c r="K469" s="47"/>
      <c r="L469" s="47"/>
      <c r="M469" s="47"/>
      <c r="N469" s="46"/>
    </row>
    <row r="470" spans="1:14" ht="21.75" customHeight="1" x14ac:dyDescent="0.3">
      <c r="A470" s="115" t="str">
        <f t="shared" si="7"/>
        <v/>
      </c>
      <c r="B470" s="101"/>
      <c r="C470" s="58"/>
      <c r="D470" s="58"/>
      <c r="E470" s="58"/>
      <c r="F470" s="54"/>
      <c r="G470" s="58"/>
      <c r="H470" s="101"/>
      <c r="I470" s="97"/>
      <c r="J470" s="54"/>
      <c r="K470" s="54"/>
      <c r="L470" s="54"/>
      <c r="M470" s="54"/>
      <c r="N470" s="58"/>
    </row>
    <row r="471" spans="1:14" ht="21.75" customHeight="1" x14ac:dyDescent="0.3">
      <c r="A471" s="114" t="str">
        <f t="shared" si="7"/>
        <v/>
      </c>
      <c r="B471" s="93"/>
      <c r="C471" s="46"/>
      <c r="D471" s="46"/>
      <c r="E471" s="46"/>
      <c r="F471" s="47"/>
      <c r="G471" s="46"/>
      <c r="H471" s="93"/>
      <c r="I471" s="89"/>
      <c r="J471" s="47"/>
      <c r="K471" s="47"/>
      <c r="L471" s="47"/>
      <c r="M471" s="47"/>
      <c r="N471" s="46"/>
    </row>
    <row r="472" spans="1:14" ht="21.75" customHeight="1" x14ac:dyDescent="0.3">
      <c r="A472" s="115" t="str">
        <f t="shared" si="7"/>
        <v/>
      </c>
      <c r="B472" s="101"/>
      <c r="C472" s="58"/>
      <c r="D472" s="58"/>
      <c r="E472" s="58"/>
      <c r="F472" s="54"/>
      <c r="G472" s="58"/>
      <c r="H472" s="101"/>
      <c r="I472" s="97"/>
      <c r="J472" s="54"/>
      <c r="K472" s="54"/>
      <c r="L472" s="54"/>
      <c r="M472" s="54"/>
      <c r="N472" s="58"/>
    </row>
    <row r="473" spans="1:14" ht="21.75" customHeight="1" x14ac:dyDescent="0.3">
      <c r="A473" s="114" t="str">
        <f t="shared" si="7"/>
        <v/>
      </c>
      <c r="B473" s="93"/>
      <c r="C473" s="46"/>
      <c r="D473" s="46"/>
      <c r="E473" s="46"/>
      <c r="F473" s="47"/>
      <c r="G473" s="46"/>
      <c r="H473" s="93"/>
      <c r="I473" s="89"/>
      <c r="J473" s="47"/>
      <c r="K473" s="47"/>
      <c r="L473" s="47"/>
      <c r="M473" s="47"/>
      <c r="N473" s="46"/>
    </row>
    <row r="474" spans="1:14" ht="21.75" customHeight="1" x14ac:dyDescent="0.3">
      <c r="A474" s="115" t="str">
        <f t="shared" si="7"/>
        <v/>
      </c>
      <c r="B474" s="101"/>
      <c r="C474" s="58"/>
      <c r="D474" s="58"/>
      <c r="E474" s="58"/>
      <c r="F474" s="54"/>
      <c r="G474" s="58"/>
      <c r="H474" s="101"/>
      <c r="I474" s="97"/>
      <c r="J474" s="54"/>
      <c r="K474" s="54"/>
      <c r="L474" s="54"/>
      <c r="M474" s="54"/>
      <c r="N474" s="58"/>
    </row>
    <row r="475" spans="1:14" ht="21.75" customHeight="1" x14ac:dyDescent="0.3">
      <c r="A475" s="114" t="str">
        <f t="shared" si="7"/>
        <v/>
      </c>
      <c r="B475" s="93"/>
      <c r="C475" s="46"/>
      <c r="D475" s="46"/>
      <c r="E475" s="46"/>
      <c r="F475" s="47"/>
      <c r="G475" s="46"/>
      <c r="H475" s="93"/>
      <c r="I475" s="89"/>
      <c r="J475" s="47"/>
      <c r="K475" s="47"/>
      <c r="L475" s="47"/>
      <c r="M475" s="47"/>
      <c r="N475" s="46"/>
    </row>
    <row r="476" spans="1:14" ht="21.75" customHeight="1" x14ac:dyDescent="0.3">
      <c r="A476" s="115" t="str">
        <f t="shared" si="7"/>
        <v/>
      </c>
      <c r="B476" s="101"/>
      <c r="C476" s="58"/>
      <c r="D476" s="58"/>
      <c r="E476" s="58"/>
      <c r="F476" s="54"/>
      <c r="G476" s="58"/>
      <c r="H476" s="101"/>
      <c r="I476" s="97"/>
      <c r="J476" s="54"/>
      <c r="K476" s="54"/>
      <c r="L476" s="54"/>
      <c r="M476" s="54"/>
      <c r="N476" s="58"/>
    </row>
    <row r="477" spans="1:14" ht="21.75" customHeight="1" x14ac:dyDescent="0.3">
      <c r="A477" s="114" t="str">
        <f t="shared" si="7"/>
        <v/>
      </c>
      <c r="B477" s="93"/>
      <c r="C477" s="46"/>
      <c r="D477" s="46"/>
      <c r="E477" s="46"/>
      <c r="F477" s="47"/>
      <c r="G477" s="46"/>
      <c r="H477" s="93"/>
      <c r="I477" s="89"/>
      <c r="J477" s="47"/>
      <c r="K477" s="47"/>
      <c r="L477" s="47"/>
      <c r="M477" s="47"/>
      <c r="N477" s="46"/>
    </row>
    <row r="478" spans="1:14" ht="21.75" customHeight="1" x14ac:dyDescent="0.3">
      <c r="A478" s="115" t="str">
        <f t="shared" si="7"/>
        <v/>
      </c>
      <c r="B478" s="101"/>
      <c r="C478" s="58"/>
      <c r="D478" s="58"/>
      <c r="E478" s="58"/>
      <c r="F478" s="54"/>
      <c r="G478" s="58"/>
      <c r="H478" s="101"/>
      <c r="I478" s="97"/>
      <c r="J478" s="54"/>
      <c r="K478" s="54"/>
      <c r="L478" s="54"/>
      <c r="M478" s="54"/>
      <c r="N478" s="58"/>
    </row>
    <row r="479" spans="1:14" ht="21.75" customHeight="1" x14ac:dyDescent="0.3">
      <c r="A479" s="114" t="str">
        <f t="shared" si="7"/>
        <v/>
      </c>
      <c r="B479" s="93"/>
      <c r="C479" s="46"/>
      <c r="D479" s="46"/>
      <c r="E479" s="46"/>
      <c r="F479" s="47"/>
      <c r="G479" s="46"/>
      <c r="H479" s="93"/>
      <c r="I479" s="89"/>
      <c r="J479" s="47"/>
      <c r="K479" s="47"/>
      <c r="L479" s="47"/>
      <c r="M479" s="47"/>
      <c r="N479" s="46"/>
    </row>
    <row r="480" spans="1:14" ht="21.75" customHeight="1" x14ac:dyDescent="0.3">
      <c r="A480" s="115" t="str">
        <f t="shared" si="7"/>
        <v/>
      </c>
      <c r="B480" s="101"/>
      <c r="C480" s="58"/>
      <c r="D480" s="58"/>
      <c r="E480" s="58"/>
      <c r="F480" s="54"/>
      <c r="G480" s="58"/>
      <c r="H480" s="101"/>
      <c r="I480" s="97"/>
      <c r="J480" s="54"/>
      <c r="K480" s="54"/>
      <c r="L480" s="54"/>
      <c r="M480" s="54"/>
      <c r="N480" s="58"/>
    </row>
    <row r="481" spans="1:14" ht="21.75" customHeight="1" x14ac:dyDescent="0.3">
      <c r="A481" s="114" t="str">
        <f t="shared" si="7"/>
        <v/>
      </c>
      <c r="B481" s="93"/>
      <c r="C481" s="46"/>
      <c r="D481" s="46"/>
      <c r="E481" s="46"/>
      <c r="F481" s="47"/>
      <c r="G481" s="46"/>
      <c r="H481" s="93"/>
      <c r="I481" s="89"/>
      <c r="J481" s="47"/>
      <c r="K481" s="47"/>
      <c r="L481" s="47"/>
      <c r="M481" s="47"/>
      <c r="N481" s="46"/>
    </row>
    <row r="482" spans="1:14" ht="21.75" customHeight="1" x14ac:dyDescent="0.3">
      <c r="A482" s="115" t="str">
        <f t="shared" si="7"/>
        <v/>
      </c>
      <c r="B482" s="101"/>
      <c r="C482" s="58"/>
      <c r="D482" s="58"/>
      <c r="E482" s="58"/>
      <c r="F482" s="54"/>
      <c r="G482" s="58"/>
      <c r="H482" s="101"/>
      <c r="I482" s="97"/>
      <c r="J482" s="54"/>
      <c r="K482" s="54"/>
      <c r="L482" s="54"/>
      <c r="M482" s="54"/>
      <c r="N482" s="58"/>
    </row>
    <row r="483" spans="1:14" ht="21.75" customHeight="1" x14ac:dyDescent="0.3">
      <c r="A483" s="114" t="str">
        <f t="shared" si="7"/>
        <v/>
      </c>
      <c r="B483" s="93"/>
      <c r="C483" s="46"/>
      <c r="D483" s="46"/>
      <c r="E483" s="46"/>
      <c r="F483" s="47"/>
      <c r="G483" s="46"/>
      <c r="H483" s="93"/>
      <c r="I483" s="89"/>
      <c r="J483" s="47"/>
      <c r="K483" s="47"/>
      <c r="L483" s="47"/>
      <c r="M483" s="47"/>
      <c r="N483" s="46"/>
    </row>
    <row r="484" spans="1:14" ht="21.75" customHeight="1" x14ac:dyDescent="0.3">
      <c r="A484" s="115" t="str">
        <f t="shared" si="7"/>
        <v/>
      </c>
      <c r="B484" s="101"/>
      <c r="C484" s="58"/>
      <c r="D484" s="58"/>
      <c r="E484" s="58"/>
      <c r="F484" s="54"/>
      <c r="G484" s="58"/>
      <c r="H484" s="101"/>
      <c r="I484" s="97"/>
      <c r="J484" s="54"/>
      <c r="K484" s="54"/>
      <c r="L484" s="54"/>
      <c r="M484" s="54"/>
      <c r="N484" s="58"/>
    </row>
    <row r="485" spans="1:14" ht="21.75" customHeight="1" x14ac:dyDescent="0.3">
      <c r="A485" s="114" t="str">
        <f t="shared" si="7"/>
        <v/>
      </c>
      <c r="B485" s="93"/>
      <c r="C485" s="46"/>
      <c r="D485" s="46"/>
      <c r="E485" s="46"/>
      <c r="F485" s="47"/>
      <c r="G485" s="46"/>
      <c r="H485" s="93"/>
      <c r="I485" s="89"/>
      <c r="J485" s="47"/>
      <c r="K485" s="47"/>
      <c r="L485" s="47"/>
      <c r="M485" s="47"/>
      <c r="N485" s="46"/>
    </row>
    <row r="486" spans="1:14" ht="21.75" customHeight="1" x14ac:dyDescent="0.3">
      <c r="A486" s="115" t="str">
        <f t="shared" si="7"/>
        <v/>
      </c>
      <c r="B486" s="101"/>
      <c r="C486" s="58"/>
      <c r="D486" s="58"/>
      <c r="E486" s="58"/>
      <c r="F486" s="54"/>
      <c r="G486" s="58"/>
      <c r="H486" s="101"/>
      <c r="I486" s="97"/>
      <c r="J486" s="54"/>
      <c r="K486" s="54"/>
      <c r="L486" s="54"/>
      <c r="M486" s="54"/>
      <c r="N486" s="58"/>
    </row>
    <row r="487" spans="1:14" ht="21.75" customHeight="1" x14ac:dyDescent="0.3">
      <c r="A487" s="114" t="str">
        <f t="shared" si="7"/>
        <v/>
      </c>
      <c r="B487" s="93"/>
      <c r="C487" s="46"/>
      <c r="D487" s="46"/>
      <c r="E487" s="46"/>
      <c r="F487" s="47"/>
      <c r="G487" s="46"/>
      <c r="H487" s="93"/>
      <c r="I487" s="89"/>
      <c r="J487" s="47"/>
      <c r="K487" s="47"/>
      <c r="L487" s="47"/>
      <c r="M487" s="47"/>
      <c r="N487" s="46"/>
    </row>
    <row r="488" spans="1:14" ht="21.75" customHeight="1" x14ac:dyDescent="0.3">
      <c r="A488" s="115" t="str">
        <f t="shared" si="7"/>
        <v/>
      </c>
      <c r="B488" s="101"/>
      <c r="C488" s="58"/>
      <c r="D488" s="58"/>
      <c r="E488" s="58"/>
      <c r="F488" s="54"/>
      <c r="G488" s="58"/>
      <c r="H488" s="101"/>
      <c r="I488" s="97"/>
      <c r="J488" s="54"/>
      <c r="K488" s="54"/>
      <c r="L488" s="54"/>
      <c r="M488" s="54"/>
      <c r="N488" s="58"/>
    </row>
    <row r="489" spans="1:14" ht="21.75" customHeight="1" x14ac:dyDescent="0.3">
      <c r="A489" s="114" t="str">
        <f t="shared" si="7"/>
        <v/>
      </c>
      <c r="B489" s="93"/>
      <c r="C489" s="46"/>
      <c r="D489" s="46"/>
      <c r="E489" s="46"/>
      <c r="F489" s="47"/>
      <c r="G489" s="46"/>
      <c r="H489" s="93"/>
      <c r="I489" s="89"/>
      <c r="J489" s="47"/>
      <c r="K489" s="47"/>
      <c r="L489" s="47"/>
      <c r="M489" s="47"/>
      <c r="N489" s="46"/>
    </row>
    <row r="490" spans="1:14" ht="21.75" customHeight="1" x14ac:dyDescent="0.3">
      <c r="A490" s="115" t="str">
        <f t="shared" si="7"/>
        <v/>
      </c>
      <c r="B490" s="101"/>
      <c r="C490" s="58"/>
      <c r="D490" s="58"/>
      <c r="E490" s="58"/>
      <c r="F490" s="54"/>
      <c r="G490" s="58"/>
      <c r="H490" s="101"/>
      <c r="I490" s="97"/>
      <c r="J490" s="54"/>
      <c r="K490" s="54"/>
      <c r="L490" s="54"/>
      <c r="M490" s="54"/>
      <c r="N490" s="58"/>
    </row>
    <row r="491" spans="1:14" ht="21.75" customHeight="1" x14ac:dyDescent="0.3">
      <c r="A491" s="114" t="str">
        <f t="shared" si="7"/>
        <v/>
      </c>
      <c r="B491" s="93"/>
      <c r="C491" s="46"/>
      <c r="D491" s="46"/>
      <c r="E491" s="46"/>
      <c r="F491" s="47"/>
      <c r="G491" s="46"/>
      <c r="H491" s="93"/>
      <c r="I491" s="89"/>
      <c r="J491" s="47"/>
      <c r="K491" s="47"/>
      <c r="L491" s="47"/>
      <c r="M491" s="47"/>
      <c r="N491" s="46"/>
    </row>
    <row r="492" spans="1:14" ht="21.75" customHeight="1" x14ac:dyDescent="0.3">
      <c r="A492" s="115" t="str">
        <f t="shared" si="7"/>
        <v/>
      </c>
      <c r="B492" s="101"/>
      <c r="C492" s="58"/>
      <c r="D492" s="58"/>
      <c r="E492" s="58"/>
      <c r="F492" s="54"/>
      <c r="G492" s="58"/>
      <c r="H492" s="101"/>
      <c r="I492" s="97"/>
      <c r="J492" s="54"/>
      <c r="K492" s="54"/>
      <c r="L492" s="54"/>
      <c r="M492" s="54"/>
      <c r="N492" s="58"/>
    </row>
    <row r="493" spans="1:14" ht="21.75" customHeight="1" x14ac:dyDescent="0.3">
      <c r="A493" s="114" t="str">
        <f t="shared" si="7"/>
        <v/>
      </c>
      <c r="B493" s="93"/>
      <c r="C493" s="46"/>
      <c r="D493" s="46"/>
      <c r="E493" s="46"/>
      <c r="F493" s="47"/>
      <c r="G493" s="46"/>
      <c r="H493" s="93"/>
      <c r="I493" s="89"/>
      <c r="J493" s="47"/>
      <c r="K493" s="47"/>
      <c r="L493" s="47"/>
      <c r="M493" s="47"/>
      <c r="N493" s="46"/>
    </row>
    <row r="494" spans="1:14" ht="21.75" customHeight="1" x14ac:dyDescent="0.3">
      <c r="A494" s="115" t="str">
        <f t="shared" si="7"/>
        <v/>
      </c>
      <c r="B494" s="101"/>
      <c r="C494" s="58"/>
      <c r="D494" s="58"/>
      <c r="E494" s="58"/>
      <c r="F494" s="54"/>
      <c r="G494" s="58"/>
      <c r="H494" s="101"/>
      <c r="I494" s="97"/>
      <c r="J494" s="54"/>
      <c r="K494" s="54"/>
      <c r="L494" s="54"/>
      <c r="M494" s="54"/>
      <c r="N494" s="58"/>
    </row>
    <row r="495" spans="1:14" ht="21.75" customHeight="1" x14ac:dyDescent="0.3">
      <c r="A495" s="114" t="str">
        <f t="shared" si="7"/>
        <v/>
      </c>
      <c r="B495" s="93"/>
      <c r="C495" s="46"/>
      <c r="D495" s="46"/>
      <c r="E495" s="46"/>
      <c r="F495" s="47"/>
      <c r="G495" s="46"/>
      <c r="H495" s="93"/>
      <c r="I495" s="89"/>
      <c r="J495" s="47"/>
      <c r="K495" s="47"/>
      <c r="L495" s="47"/>
      <c r="M495" s="47"/>
      <c r="N495" s="46"/>
    </row>
    <row r="496" spans="1:14" ht="21.75" customHeight="1" x14ac:dyDescent="0.3">
      <c r="A496" s="115" t="str">
        <f t="shared" si="7"/>
        <v/>
      </c>
      <c r="B496" s="101"/>
      <c r="C496" s="58"/>
      <c r="D496" s="58"/>
      <c r="E496" s="58"/>
      <c r="F496" s="54"/>
      <c r="G496" s="58"/>
      <c r="H496" s="101"/>
      <c r="I496" s="97"/>
      <c r="J496" s="54"/>
      <c r="K496" s="54"/>
      <c r="L496" s="54"/>
      <c r="M496" s="54"/>
      <c r="N496" s="58"/>
    </row>
    <row r="497" spans="1:14" ht="21.75" customHeight="1" x14ac:dyDescent="0.3">
      <c r="A497" s="114" t="str">
        <f t="shared" si="7"/>
        <v/>
      </c>
      <c r="B497" s="93"/>
      <c r="C497" s="46"/>
      <c r="D497" s="46"/>
      <c r="E497" s="46"/>
      <c r="F497" s="47"/>
      <c r="G497" s="46"/>
      <c r="H497" s="93"/>
      <c r="I497" s="89"/>
      <c r="J497" s="47"/>
      <c r="K497" s="47"/>
      <c r="L497" s="47"/>
      <c r="M497" s="47"/>
      <c r="N497" s="46"/>
    </row>
    <row r="498" spans="1:14" ht="21.75" customHeight="1" x14ac:dyDescent="0.3">
      <c r="A498" s="115" t="str">
        <f t="shared" si="7"/>
        <v/>
      </c>
      <c r="B498" s="101"/>
      <c r="C498" s="58"/>
      <c r="D498" s="58"/>
      <c r="E498" s="58"/>
      <c r="F498" s="54"/>
      <c r="G498" s="58"/>
      <c r="H498" s="101"/>
      <c r="I498" s="97"/>
      <c r="J498" s="54"/>
      <c r="K498" s="54"/>
      <c r="L498" s="54"/>
      <c r="M498" s="54"/>
      <c r="N498" s="58"/>
    </row>
    <row r="499" spans="1:14" ht="21.75" customHeight="1" x14ac:dyDescent="0.3">
      <c r="A499" s="114" t="str">
        <f t="shared" si="7"/>
        <v/>
      </c>
      <c r="B499" s="93"/>
      <c r="C499" s="46"/>
      <c r="D499" s="46"/>
      <c r="E499" s="46"/>
      <c r="F499" s="47"/>
      <c r="G499" s="46"/>
      <c r="H499" s="93"/>
      <c r="I499" s="89"/>
      <c r="J499" s="47"/>
      <c r="K499" s="47"/>
      <c r="L499" s="47"/>
      <c r="M499" s="47"/>
      <c r="N499" s="46"/>
    </row>
    <row r="500" spans="1:14" ht="21.75" customHeight="1" x14ac:dyDescent="0.3">
      <c r="A500" s="115" t="str">
        <f t="shared" si="7"/>
        <v/>
      </c>
      <c r="B500" s="101"/>
      <c r="C500" s="58"/>
      <c r="D500" s="58"/>
      <c r="E500" s="58"/>
      <c r="F500" s="54"/>
      <c r="G500" s="58"/>
      <c r="H500" s="101"/>
      <c r="I500" s="97"/>
      <c r="J500" s="54"/>
      <c r="K500" s="54"/>
      <c r="L500" s="54"/>
      <c r="M500" s="54"/>
      <c r="N500" s="58"/>
    </row>
    <row r="501" spans="1:14" ht="21.75" customHeight="1" x14ac:dyDescent="0.3">
      <c r="A501" s="114" t="str">
        <f t="shared" si="7"/>
        <v/>
      </c>
      <c r="B501" s="93"/>
      <c r="C501" s="46"/>
      <c r="D501" s="46"/>
      <c r="E501" s="46"/>
      <c r="F501" s="47"/>
      <c r="G501" s="46"/>
      <c r="H501" s="93"/>
      <c r="I501" s="89"/>
      <c r="J501" s="47"/>
      <c r="K501" s="47"/>
      <c r="L501" s="47"/>
      <c r="M501" s="47"/>
      <c r="N501" s="46"/>
    </row>
    <row r="502" spans="1:14" ht="21.75" customHeight="1" x14ac:dyDescent="0.3">
      <c r="A502" s="115" t="str">
        <f t="shared" si="7"/>
        <v/>
      </c>
      <c r="B502" s="101"/>
      <c r="C502" s="58"/>
      <c r="D502" s="58"/>
      <c r="E502" s="58"/>
      <c r="F502" s="54"/>
      <c r="G502" s="58"/>
      <c r="H502" s="101"/>
      <c r="I502" s="97"/>
      <c r="J502" s="54"/>
      <c r="K502" s="54"/>
      <c r="L502" s="54"/>
      <c r="M502" s="54"/>
      <c r="N502" s="58"/>
    </row>
    <row r="503" spans="1:14" ht="1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 spans="1:14" ht="1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 spans="1:14" ht="1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 spans="1:14" ht="1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 spans="1:14" ht="1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 spans="1:14" ht="1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 spans="1:14" ht="1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 spans="1:14" ht="1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</sheetData>
  <mergeCells count="1">
    <mergeCell ref="A1:N1"/>
  </mergeCells>
  <conditionalFormatting sqref="F3:F502">
    <cfRule type="expression" dxfId="5" priority="2">
      <formula>F3="Urgent"</formula>
    </cfRule>
    <cfRule type="expression" dxfId="4" priority="3">
      <formula>F3="High"</formula>
    </cfRule>
  </conditionalFormatting>
  <conditionalFormatting sqref="L3:L502">
    <cfRule type="expression" dxfId="3" priority="4">
      <formula>L3="Completed"</formula>
    </cfRule>
    <cfRule type="expression" dxfId="2" priority="5">
      <formula>L3="Open"</formula>
    </cfRule>
  </conditionalFormatting>
  <dataValidations count="7">
    <dataValidation type="list" sqref="E3:E502" xr:uid="{00000000-0002-0000-0400-000000000000}">
      <formula1>"Plumbing,Electrical,Structural,Painting,Cleaning,Security,Appliance,Roofing,Other"</formula1>
      <formula2>0</formula2>
    </dataValidation>
    <dataValidation type="list" sqref="F3:F502" xr:uid="{00000000-0002-0000-0400-000001000000}">
      <formula1>"Urgent,High,Medium,Low"</formula1>
      <formula2>0</formula2>
    </dataValidation>
    <dataValidation type="list" sqref="J3:J502" xr:uid="{00000000-0002-0000-0400-000002000000}">
      <formula1>"Yes,No,Partial"</formula1>
      <formula2>0</formula2>
    </dataValidation>
    <dataValidation type="list" sqref="K3:K502" xr:uid="{00000000-0002-0000-0400-000003000000}">
      <formula1>"Yes,No,N/A"</formula1>
      <formula2>0</formula2>
    </dataValidation>
    <dataValidation type="list" sqref="L3:L502" xr:uid="{00000000-0002-0000-0400-000004000000}">
      <formula1>"Open,In Progress,Completed,On Hold,Cancelled"</formula1>
      <formula2>0</formula2>
    </dataValidation>
    <dataValidation type="list" sqref="M3:M502" xr:uid="{00000000-0002-0000-0400-000005000000}">
      <formula1>"Jan,Feb,Mar,Apr,May,Jun,Jul,Aug,Sep,Oct,Nov,Dec"</formula1>
      <formula2>0</formula2>
    </dataValidation>
    <dataValidation type="date" showInputMessage="1" promptTitle="Date" prompt="DD/MM/YYYY" sqref="B3:B502 H3:H502" xr:uid="{00000000-0002-0000-0400-000006000000}">
      <formula1>DATE(2000,1,1)</formula1>
      <formula2>DATE(2100,12,31)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R40"/>
  <sheetViews>
    <sheetView showGridLines="0" zoomScaleNormal="100" workbookViewId="0">
      <pane ySplit="2" topLeftCell="A4" activePane="bottomLeft" state="frozen"/>
      <selection pane="bottomLeft" activeCell="D13" sqref="D13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  <col min="4" max="15" width="11" customWidth="1"/>
    <col min="16" max="17" width="16" customWidth="1"/>
    <col min="18" max="18" width="14" customWidth="1"/>
  </cols>
  <sheetData>
    <row r="1" spans="1:18" ht="36" customHeight="1" x14ac:dyDescent="0.3">
      <c r="A1" s="132" t="s">
        <v>132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</row>
    <row r="2" spans="1:18" ht="27.75" customHeight="1" x14ac:dyDescent="0.3">
      <c r="A2" s="33" t="s">
        <v>133</v>
      </c>
      <c r="B2" s="35" t="s">
        <v>43</v>
      </c>
      <c r="C2" s="38" t="s">
        <v>134</v>
      </c>
      <c r="D2" s="80" t="s">
        <v>26</v>
      </c>
      <c r="E2" s="80" t="s">
        <v>27</v>
      </c>
      <c r="F2" s="80" t="s">
        <v>28</v>
      </c>
      <c r="G2" s="80" t="s">
        <v>29</v>
      </c>
      <c r="H2" s="80" t="s">
        <v>30</v>
      </c>
      <c r="I2" s="80" t="s">
        <v>31</v>
      </c>
      <c r="J2" s="80" t="s">
        <v>32</v>
      </c>
      <c r="K2" s="80" t="s">
        <v>33</v>
      </c>
      <c r="L2" s="80" t="s">
        <v>34</v>
      </c>
      <c r="M2" s="80" t="s">
        <v>35</v>
      </c>
      <c r="N2" s="80" t="s">
        <v>36</v>
      </c>
      <c r="O2" s="80" t="s">
        <v>37</v>
      </c>
      <c r="P2" s="41" t="s">
        <v>135</v>
      </c>
      <c r="Q2" s="41" t="s">
        <v>136</v>
      </c>
      <c r="R2" s="34" t="s">
        <v>137</v>
      </c>
    </row>
    <row r="3" spans="1:18" ht="21.75" customHeight="1" x14ac:dyDescent="0.3">
      <c r="A3" s="46" t="s">
        <v>138</v>
      </c>
      <c r="B3" s="116" t="s">
        <v>139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108">
        <f t="shared" ref="P3:P22" si="0">SUM(D3:O3)</f>
        <v>0</v>
      </c>
      <c r="Q3" s="73">
        <f t="shared" ref="Q3:Q22" si="1">C3</f>
        <v>0</v>
      </c>
      <c r="R3" s="89" t="str">
        <f t="shared" ref="R3:R22" si="2">IF(C3=0,"",P3-C3)</f>
        <v/>
      </c>
    </row>
    <row r="4" spans="1:18" ht="21.75" customHeight="1" x14ac:dyDescent="0.3">
      <c r="A4" s="58" t="s">
        <v>140</v>
      </c>
      <c r="B4" s="117" t="s">
        <v>139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11">
        <f t="shared" si="0"/>
        <v>0</v>
      </c>
      <c r="Q4" s="53">
        <f t="shared" si="1"/>
        <v>0</v>
      </c>
      <c r="R4" s="97" t="str">
        <f t="shared" si="2"/>
        <v/>
      </c>
    </row>
    <row r="5" spans="1:18" ht="21.75" customHeight="1" x14ac:dyDescent="0.3">
      <c r="A5" s="46" t="s">
        <v>141</v>
      </c>
      <c r="B5" s="116" t="s">
        <v>139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108">
        <f t="shared" si="0"/>
        <v>0</v>
      </c>
      <c r="Q5" s="73">
        <f t="shared" si="1"/>
        <v>0</v>
      </c>
      <c r="R5" s="89" t="str">
        <f t="shared" si="2"/>
        <v/>
      </c>
    </row>
    <row r="6" spans="1:18" ht="21.75" customHeight="1" x14ac:dyDescent="0.3">
      <c r="A6" s="58" t="s">
        <v>142</v>
      </c>
      <c r="B6" s="117" t="s">
        <v>139</v>
      </c>
      <c r="C6" s="59"/>
      <c r="D6" s="59">
        <v>5000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111">
        <f t="shared" si="0"/>
        <v>5000</v>
      </c>
      <c r="Q6" s="53">
        <f t="shared" si="1"/>
        <v>0</v>
      </c>
      <c r="R6" s="97" t="str">
        <f t="shared" si="2"/>
        <v/>
      </c>
    </row>
    <row r="7" spans="1:18" ht="21.75" customHeight="1" x14ac:dyDescent="0.3">
      <c r="A7" s="46" t="s">
        <v>143</v>
      </c>
      <c r="B7" s="116" t="s">
        <v>139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108">
        <f t="shared" si="0"/>
        <v>0</v>
      </c>
      <c r="Q7" s="73">
        <f t="shared" si="1"/>
        <v>0</v>
      </c>
      <c r="R7" s="89" t="str">
        <f t="shared" si="2"/>
        <v/>
      </c>
    </row>
    <row r="8" spans="1:18" ht="21.75" customHeight="1" x14ac:dyDescent="0.3">
      <c r="A8" s="58" t="s">
        <v>144</v>
      </c>
      <c r="B8" s="117" t="s">
        <v>145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111">
        <f t="shared" si="0"/>
        <v>0</v>
      </c>
      <c r="Q8" s="53">
        <f t="shared" si="1"/>
        <v>0</v>
      </c>
      <c r="R8" s="97" t="str">
        <f t="shared" si="2"/>
        <v/>
      </c>
    </row>
    <row r="9" spans="1:18" ht="21.75" customHeight="1" x14ac:dyDescent="0.3">
      <c r="A9" s="46" t="s">
        <v>146</v>
      </c>
      <c r="B9" s="116" t="s">
        <v>145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108">
        <f t="shared" si="0"/>
        <v>0</v>
      </c>
      <c r="Q9" s="73">
        <f t="shared" si="1"/>
        <v>0</v>
      </c>
      <c r="R9" s="89" t="str">
        <f t="shared" si="2"/>
        <v/>
      </c>
    </row>
    <row r="10" spans="1:18" ht="21.75" customHeight="1" x14ac:dyDescent="0.3">
      <c r="A10" s="58" t="s">
        <v>147</v>
      </c>
      <c r="B10" s="117" t="s">
        <v>145</v>
      </c>
      <c r="C10" s="59"/>
      <c r="D10" s="59">
        <v>1000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111">
        <f t="shared" si="0"/>
        <v>1000</v>
      </c>
      <c r="Q10" s="53">
        <f t="shared" si="1"/>
        <v>0</v>
      </c>
      <c r="R10" s="97" t="str">
        <f t="shared" si="2"/>
        <v/>
      </c>
    </row>
    <row r="11" spans="1:18" ht="21.75" customHeight="1" x14ac:dyDescent="0.3">
      <c r="A11" s="46" t="s">
        <v>148</v>
      </c>
      <c r="B11" s="116" t="s">
        <v>145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108">
        <f t="shared" si="0"/>
        <v>0</v>
      </c>
      <c r="Q11" s="73">
        <f t="shared" si="1"/>
        <v>0</v>
      </c>
      <c r="R11" s="89" t="str">
        <f t="shared" si="2"/>
        <v/>
      </c>
    </row>
    <row r="12" spans="1:18" ht="21.75" customHeight="1" x14ac:dyDescent="0.3">
      <c r="A12" s="58" t="s">
        <v>149</v>
      </c>
      <c r="B12" s="117" t="s">
        <v>150</v>
      </c>
      <c r="C12" s="59"/>
      <c r="D12" s="59">
        <v>2000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111">
        <f t="shared" si="0"/>
        <v>2000</v>
      </c>
      <c r="Q12" s="53">
        <f t="shared" si="1"/>
        <v>0</v>
      </c>
      <c r="R12" s="97" t="str">
        <f t="shared" si="2"/>
        <v/>
      </c>
    </row>
    <row r="13" spans="1:18" ht="21.75" customHeight="1" x14ac:dyDescent="0.3">
      <c r="A13" s="46" t="s">
        <v>151</v>
      </c>
      <c r="B13" s="116" t="s">
        <v>150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108">
        <f t="shared" si="0"/>
        <v>0</v>
      </c>
      <c r="Q13" s="73">
        <f t="shared" si="1"/>
        <v>0</v>
      </c>
      <c r="R13" s="89" t="str">
        <f t="shared" si="2"/>
        <v/>
      </c>
    </row>
    <row r="14" spans="1:18" ht="21.75" customHeight="1" x14ac:dyDescent="0.3">
      <c r="A14" s="58" t="s">
        <v>152</v>
      </c>
      <c r="B14" s="117" t="s">
        <v>150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111">
        <f t="shared" si="0"/>
        <v>0</v>
      </c>
      <c r="Q14" s="53">
        <f t="shared" si="1"/>
        <v>0</v>
      </c>
      <c r="R14" s="97" t="str">
        <f t="shared" si="2"/>
        <v/>
      </c>
    </row>
    <row r="15" spans="1:18" ht="21.75" customHeight="1" x14ac:dyDescent="0.3">
      <c r="A15" s="46" t="s">
        <v>153</v>
      </c>
      <c r="B15" s="116" t="s">
        <v>150</v>
      </c>
      <c r="C15" s="48"/>
      <c r="D15" s="48">
        <v>1000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108">
        <f t="shared" si="0"/>
        <v>1000</v>
      </c>
      <c r="Q15" s="73">
        <f t="shared" si="1"/>
        <v>0</v>
      </c>
      <c r="R15" s="89" t="str">
        <f t="shared" si="2"/>
        <v/>
      </c>
    </row>
    <row r="16" spans="1:18" ht="21.75" customHeight="1" x14ac:dyDescent="0.3">
      <c r="A16" s="58" t="s">
        <v>154</v>
      </c>
      <c r="B16" s="117" t="s">
        <v>150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111">
        <f t="shared" si="0"/>
        <v>0</v>
      </c>
      <c r="Q16" s="53">
        <f t="shared" si="1"/>
        <v>0</v>
      </c>
      <c r="R16" s="97" t="str">
        <f t="shared" si="2"/>
        <v/>
      </c>
    </row>
    <row r="17" spans="1:18" ht="21.75" customHeight="1" x14ac:dyDescent="0.3">
      <c r="A17" s="46" t="s">
        <v>155</v>
      </c>
      <c r="B17" s="116" t="s">
        <v>156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108">
        <f t="shared" si="0"/>
        <v>0</v>
      </c>
      <c r="Q17" s="73">
        <f t="shared" si="1"/>
        <v>0</v>
      </c>
      <c r="R17" s="89" t="str">
        <f t="shared" si="2"/>
        <v/>
      </c>
    </row>
    <row r="18" spans="1:18" ht="21.75" customHeight="1" x14ac:dyDescent="0.3">
      <c r="A18" s="58" t="s">
        <v>157</v>
      </c>
      <c r="B18" s="117" t="s">
        <v>156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111">
        <f t="shared" si="0"/>
        <v>0</v>
      </c>
      <c r="Q18" s="53">
        <f t="shared" si="1"/>
        <v>0</v>
      </c>
      <c r="R18" s="97" t="str">
        <f t="shared" si="2"/>
        <v/>
      </c>
    </row>
    <row r="19" spans="1:18" ht="21.75" customHeight="1" x14ac:dyDescent="0.3">
      <c r="A19" s="46" t="s">
        <v>158</v>
      </c>
      <c r="B19" s="116" t="s">
        <v>156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108">
        <f t="shared" si="0"/>
        <v>0</v>
      </c>
      <c r="Q19" s="73">
        <f t="shared" si="1"/>
        <v>0</v>
      </c>
      <c r="R19" s="89" t="str">
        <f t="shared" si="2"/>
        <v/>
      </c>
    </row>
    <row r="20" spans="1:18" ht="21.75" customHeight="1" x14ac:dyDescent="0.3">
      <c r="A20" s="58" t="s">
        <v>159</v>
      </c>
      <c r="B20" s="117" t="s">
        <v>156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111">
        <f t="shared" si="0"/>
        <v>0</v>
      </c>
      <c r="Q20" s="53">
        <f t="shared" si="1"/>
        <v>0</v>
      </c>
      <c r="R20" s="97" t="str">
        <f t="shared" si="2"/>
        <v/>
      </c>
    </row>
    <row r="21" spans="1:18" ht="21.75" customHeight="1" x14ac:dyDescent="0.3">
      <c r="A21" s="46" t="s">
        <v>160</v>
      </c>
      <c r="B21" s="116" t="s">
        <v>161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108">
        <f t="shared" si="0"/>
        <v>0</v>
      </c>
      <c r="Q21" s="73">
        <f t="shared" si="1"/>
        <v>0</v>
      </c>
      <c r="R21" s="89" t="str">
        <f t="shared" si="2"/>
        <v/>
      </c>
    </row>
    <row r="22" spans="1:18" ht="21.75" customHeight="1" x14ac:dyDescent="0.3">
      <c r="A22" s="58" t="s">
        <v>162</v>
      </c>
      <c r="B22" s="117" t="s">
        <v>163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111">
        <f t="shared" si="0"/>
        <v>0</v>
      </c>
      <c r="Q22" s="53">
        <f t="shared" si="1"/>
        <v>0</v>
      </c>
      <c r="R22" s="97" t="str">
        <f t="shared" si="2"/>
        <v/>
      </c>
    </row>
    <row r="23" spans="1:18" ht="27.75" customHeight="1" x14ac:dyDescent="0.3">
      <c r="A23" s="133" t="s">
        <v>164</v>
      </c>
      <c r="B23" s="133"/>
      <c r="C23" s="83">
        <f t="shared" ref="C23:R23" si="3">SUM(C3:C22)</f>
        <v>0</v>
      </c>
      <c r="D23" s="83">
        <f t="shared" si="3"/>
        <v>9000</v>
      </c>
      <c r="E23" s="83">
        <f t="shared" si="3"/>
        <v>0</v>
      </c>
      <c r="F23" s="83">
        <f t="shared" si="3"/>
        <v>0</v>
      </c>
      <c r="G23" s="83">
        <f t="shared" si="3"/>
        <v>0</v>
      </c>
      <c r="H23" s="83">
        <f t="shared" si="3"/>
        <v>0</v>
      </c>
      <c r="I23" s="83">
        <f t="shared" si="3"/>
        <v>0</v>
      </c>
      <c r="J23" s="83">
        <f t="shared" si="3"/>
        <v>0</v>
      </c>
      <c r="K23" s="83">
        <f t="shared" si="3"/>
        <v>0</v>
      </c>
      <c r="L23" s="83">
        <f t="shared" si="3"/>
        <v>0</v>
      </c>
      <c r="M23" s="83">
        <f t="shared" si="3"/>
        <v>0</v>
      </c>
      <c r="N23" s="83">
        <f t="shared" si="3"/>
        <v>0</v>
      </c>
      <c r="O23" s="83">
        <f t="shared" si="3"/>
        <v>0</v>
      </c>
      <c r="P23" s="83">
        <f t="shared" si="3"/>
        <v>9000</v>
      </c>
      <c r="Q23" s="83">
        <f t="shared" si="3"/>
        <v>0</v>
      </c>
      <c r="R23" s="83">
        <f t="shared" si="3"/>
        <v>0</v>
      </c>
    </row>
    <row r="24" spans="1:18" ht="1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ht="1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ht="1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ht="1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18" ht="1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ht="15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 ht="15" customHeight="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 ht="15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15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1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1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ht="1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ht="1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ht="1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 ht="1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</sheetData>
  <mergeCells count="2">
    <mergeCell ref="A1:R1"/>
    <mergeCell ref="A23:B23"/>
  </mergeCells>
  <conditionalFormatting sqref="R3:R23">
    <cfRule type="expression" dxfId="1" priority="2">
      <formula>R3&lt;0</formula>
    </cfRule>
    <cfRule type="expression" dxfId="0" priority="3">
      <formula>AND(R3&gt;=0,R3&lt;&gt;"")</formula>
    </cfRule>
  </conditionalFormatting>
  <dataValidations count="1">
    <dataValidation type="list" sqref="B3:B50" xr:uid="{00000000-0002-0000-0500-000000000000}">
      <formula1>"Fixed,Utility,Maintenance,Admin,CapEx,Variable"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BC9C"/>
  </sheetPr>
  <dimension ref="A1:Q30"/>
  <sheetViews>
    <sheetView showGridLines="0" zoomScaleNormal="100" workbookViewId="0">
      <pane ySplit="2" topLeftCell="A6" activePane="bottomLeft" state="frozen"/>
      <selection pane="bottomLeft" sqref="A1:Q1"/>
    </sheetView>
  </sheetViews>
  <sheetFormatPr defaultColWidth="8.6640625" defaultRowHeight="14.4" x14ac:dyDescent="0.3"/>
  <cols>
    <col min="1" max="1" width="28" customWidth="1"/>
    <col min="2" max="2" width="14" customWidth="1"/>
    <col min="3" max="14" width="11" customWidth="1"/>
    <col min="15" max="16" width="16" customWidth="1"/>
    <col min="17" max="17" width="14" customWidth="1"/>
  </cols>
  <sheetData>
    <row r="1" spans="1:17" ht="36" customHeight="1" x14ac:dyDescent="0.3">
      <c r="A1" s="134" t="s">
        <v>165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 spans="1:17" ht="27.75" customHeight="1" x14ac:dyDescent="0.3">
      <c r="A2" s="37" t="s">
        <v>166</v>
      </c>
      <c r="B2" s="37" t="s">
        <v>125</v>
      </c>
      <c r="C2" s="37" t="s">
        <v>26</v>
      </c>
      <c r="D2" s="37" t="s">
        <v>27</v>
      </c>
      <c r="E2" s="37" t="s">
        <v>28</v>
      </c>
      <c r="F2" s="37" t="s">
        <v>29</v>
      </c>
      <c r="G2" s="37" t="s">
        <v>30</v>
      </c>
      <c r="H2" s="37" t="s">
        <v>31</v>
      </c>
      <c r="I2" s="37" t="s">
        <v>32</v>
      </c>
      <c r="J2" s="37" t="s">
        <v>33</v>
      </c>
      <c r="K2" s="37" t="s">
        <v>34</v>
      </c>
      <c r="L2" s="37" t="s">
        <v>35</v>
      </c>
      <c r="M2" s="37" t="s">
        <v>36</v>
      </c>
      <c r="N2" s="37" t="s">
        <v>37</v>
      </c>
      <c r="O2" s="37" t="s">
        <v>167</v>
      </c>
      <c r="P2" s="37" t="s">
        <v>136</v>
      </c>
      <c r="Q2" s="37" t="s">
        <v>137</v>
      </c>
    </row>
    <row r="3" spans="1:17" ht="25.5" customHeight="1" x14ac:dyDescent="0.3">
      <c r="A3" s="135" t="s">
        <v>168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</row>
    <row r="4" spans="1:17" ht="25.5" customHeight="1" x14ac:dyDescent="0.3">
      <c r="A4" s="58" t="s">
        <v>169</v>
      </c>
      <c r="B4" s="118" t="s">
        <v>170</v>
      </c>
      <c r="C4" s="97">
        <f>'Rent Tracker'!J34</f>
        <v>179000</v>
      </c>
      <c r="D4" s="97">
        <f>'Rent Tracker'!L34</f>
        <v>7000</v>
      </c>
      <c r="E4" s="97">
        <f>'Rent Tracker'!N34</f>
        <v>7000</v>
      </c>
      <c r="F4" s="97">
        <f>'Rent Tracker'!P34</f>
        <v>0</v>
      </c>
      <c r="G4" s="97">
        <f>'Rent Tracker'!R34</f>
        <v>14000</v>
      </c>
      <c r="H4" s="97">
        <f>'Rent Tracker'!T34</f>
        <v>14000</v>
      </c>
      <c r="I4" s="97">
        <f>'Rent Tracker'!V34</f>
        <v>26000</v>
      </c>
      <c r="J4" s="97">
        <f>'Rent Tracker'!X34</f>
        <v>7000</v>
      </c>
      <c r="K4" s="97">
        <f>'Rent Tracker'!Z34</f>
        <v>0</v>
      </c>
      <c r="L4" s="97">
        <f>'Rent Tracker'!AB34</f>
        <v>19000</v>
      </c>
      <c r="M4" s="97">
        <f>'Rent Tracker'!AD34</f>
        <v>14000</v>
      </c>
      <c r="N4" s="97">
        <f>'Rent Tracker'!AF34</f>
        <v>35000</v>
      </c>
      <c r="O4" s="97"/>
      <c r="P4" s="97"/>
      <c r="Q4" s="97"/>
    </row>
    <row r="5" spans="1:17" ht="25.5" customHeight="1" x14ac:dyDescent="0.3">
      <c r="A5" s="46" t="s">
        <v>171</v>
      </c>
      <c r="B5" s="119" t="s">
        <v>170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1:17" ht="25.5" customHeight="1" x14ac:dyDescent="0.3">
      <c r="A6" s="58" t="s">
        <v>172</v>
      </c>
      <c r="B6" s="118" t="s">
        <v>173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>
        <f>SUM(C6:N6)</f>
        <v>0</v>
      </c>
      <c r="P6" s="97"/>
      <c r="Q6" s="97"/>
    </row>
    <row r="7" spans="1:17" ht="25.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ht="25.5" customHeight="1" x14ac:dyDescent="0.3">
      <c r="A8" s="135" t="s">
        <v>174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25.5" customHeight="1" x14ac:dyDescent="0.3">
      <c r="A9" s="46" t="s">
        <v>175</v>
      </c>
      <c r="B9" s="119" t="s">
        <v>176</v>
      </c>
      <c r="C9" s="89">
        <f>Expenses!D23</f>
        <v>9000</v>
      </c>
      <c r="D9" s="89">
        <f>Expenses!E23</f>
        <v>0</v>
      </c>
      <c r="E9" s="89">
        <f>Expenses!F23</f>
        <v>0</v>
      </c>
      <c r="F9" s="89">
        <f>Expenses!G23</f>
        <v>0</v>
      </c>
      <c r="G9" s="89">
        <f>Expenses!H23</f>
        <v>0</v>
      </c>
      <c r="H9" s="89">
        <f>Expenses!I23</f>
        <v>0</v>
      </c>
      <c r="I9" s="89">
        <f>Expenses!J23</f>
        <v>0</v>
      </c>
      <c r="J9" s="89">
        <f>Expenses!K23</f>
        <v>0</v>
      </c>
      <c r="K9" s="89">
        <f>Expenses!L23</f>
        <v>0</v>
      </c>
      <c r="L9" s="89">
        <f>Expenses!M23</f>
        <v>0</v>
      </c>
      <c r="M9" s="89">
        <f>Expenses!N23</f>
        <v>0</v>
      </c>
      <c r="N9" s="89">
        <f>Expenses!O23</f>
        <v>0</v>
      </c>
      <c r="O9" s="89"/>
      <c r="P9" s="89"/>
      <c r="Q9" s="89"/>
    </row>
    <row r="10" spans="1:17" ht="25.5" customHeight="1" x14ac:dyDescent="0.3">
      <c r="A10" s="58" t="s">
        <v>164</v>
      </c>
      <c r="B10" s="118" t="s">
        <v>173</v>
      </c>
      <c r="C10" s="97">
        <f t="shared" ref="C10:N10" si="0">C8</f>
        <v>0</v>
      </c>
      <c r="D10" s="97">
        <f t="shared" si="0"/>
        <v>0</v>
      </c>
      <c r="E10" s="97">
        <f t="shared" si="0"/>
        <v>0</v>
      </c>
      <c r="F10" s="97">
        <f t="shared" si="0"/>
        <v>0</v>
      </c>
      <c r="G10" s="97">
        <f t="shared" si="0"/>
        <v>0</v>
      </c>
      <c r="H10" s="97">
        <f t="shared" si="0"/>
        <v>0</v>
      </c>
      <c r="I10" s="97">
        <f t="shared" si="0"/>
        <v>0</v>
      </c>
      <c r="J10" s="97">
        <f t="shared" si="0"/>
        <v>0</v>
      </c>
      <c r="K10" s="97">
        <f t="shared" si="0"/>
        <v>0</v>
      </c>
      <c r="L10" s="97">
        <f t="shared" si="0"/>
        <v>0</v>
      </c>
      <c r="M10" s="97">
        <f t="shared" si="0"/>
        <v>0</v>
      </c>
      <c r="N10" s="97">
        <f t="shared" si="0"/>
        <v>0</v>
      </c>
      <c r="O10" s="120">
        <f>SUM(C10:N10)</f>
        <v>0</v>
      </c>
      <c r="P10" s="97"/>
      <c r="Q10" s="97"/>
    </row>
    <row r="11" spans="1:17" ht="25.5" customHeight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ht="25.5" customHeight="1" x14ac:dyDescent="0.3">
      <c r="A12" s="58" t="s">
        <v>177</v>
      </c>
      <c r="B12" s="118" t="s">
        <v>25</v>
      </c>
      <c r="C12" s="97">
        <f t="shared" ref="C12:O12" si="1">C6-C10</f>
        <v>0</v>
      </c>
      <c r="D12" s="97">
        <f t="shared" si="1"/>
        <v>0</v>
      </c>
      <c r="E12" s="97">
        <f t="shared" si="1"/>
        <v>0</v>
      </c>
      <c r="F12" s="97">
        <f t="shared" si="1"/>
        <v>0</v>
      </c>
      <c r="G12" s="97">
        <f t="shared" si="1"/>
        <v>0</v>
      </c>
      <c r="H12" s="97">
        <f t="shared" si="1"/>
        <v>0</v>
      </c>
      <c r="I12" s="97">
        <f t="shared" si="1"/>
        <v>0</v>
      </c>
      <c r="J12" s="97">
        <f t="shared" si="1"/>
        <v>0</v>
      </c>
      <c r="K12" s="97">
        <f t="shared" si="1"/>
        <v>0</v>
      </c>
      <c r="L12" s="97">
        <f t="shared" si="1"/>
        <v>0</v>
      </c>
      <c r="M12" s="97">
        <f t="shared" si="1"/>
        <v>0</v>
      </c>
      <c r="N12" s="97">
        <f t="shared" si="1"/>
        <v>0</v>
      </c>
      <c r="O12" s="121">
        <f t="shared" si="1"/>
        <v>0</v>
      </c>
      <c r="P12" s="97"/>
      <c r="Q12" s="97"/>
    </row>
    <row r="13" spans="1:17" ht="25.5" customHeight="1" x14ac:dyDescent="0.3">
      <c r="A13" s="46" t="s">
        <v>178</v>
      </c>
      <c r="B13" s="119" t="s">
        <v>179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122">
        <f>IFERROR(COUNTIF('Rent Tracker'!B3:B32,"&lt;&gt;VACANT")/COUNTA('Rent Tracker'!A3:A32),0)</f>
        <v>1.4285714285714286</v>
      </c>
      <c r="P13" s="89"/>
      <c r="Q13" s="89"/>
    </row>
    <row r="14" spans="1:17" ht="25.5" customHeight="1" x14ac:dyDescent="0.3">
      <c r="A14" s="58" t="s">
        <v>180</v>
      </c>
      <c r="B14" s="118" t="s">
        <v>179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123">
        <f>IFERROR(AI34/(AJ34),0)</f>
        <v>0</v>
      </c>
      <c r="P14" s="97"/>
      <c r="Q14" s="97"/>
    </row>
    <row r="15" spans="1:17" ht="15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15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ht="15" customHeigh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15" customHeigh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ht="15" customHeight="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15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15" customHeight="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ht="15" customHeigh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ht="1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1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ht="1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ht="1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ht="1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ht="15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ht="1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</sheetData>
  <mergeCells count="3">
    <mergeCell ref="A1:Q1"/>
    <mergeCell ref="A3:Q3"/>
    <mergeCell ref="A8:Q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Rent Tracker</vt:lpstr>
      <vt:lpstr>Arrears</vt:lpstr>
      <vt:lpstr>Deposits</vt:lpstr>
      <vt:lpstr>Maintenance</vt:lpstr>
      <vt:lpstr>Expenses</vt:lpstr>
      <vt:lpstr>P&amp;L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IAN GICHURU</cp:lastModifiedBy>
  <cp:revision>2</cp:revision>
  <dcterms:created xsi:type="dcterms:W3CDTF">2026-03-29T14:39:55Z</dcterms:created>
  <dcterms:modified xsi:type="dcterms:W3CDTF">2026-03-29T15:28:43Z</dcterms:modified>
  <dc:language>en-US</dc:language>
</cp:coreProperties>
</file>